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ttps://d.docs.live.net/5593e1fb9b63ac93/Documents/GitHub/Sales-Pipeline-Manager/"/>
    </mc:Choice>
  </mc:AlternateContent>
  <xr:revisionPtr revIDLastSave="39" documentId="8_{16B2046A-EC01-4CAF-A063-147B7EDC8317}" xr6:coauthVersionLast="47" xr6:coauthVersionMax="47" xr10:uidLastSave="{8E9498DC-606F-4963-811A-5025DB98ECFF}"/>
  <bookViews>
    <workbookView minimized="1" xWindow="825" yWindow="615" windowWidth="19665" windowHeight="10305" xr2:uid="{A5CDD2AB-79B4-4B21-BF80-F0DAB13457AF}"/>
  </bookViews>
  <sheets>
    <sheet name="Tracker" sheetId="1" r:id="rId1"/>
    <sheet name="Teams" sheetId="2" r:id="rId2"/>
    <sheet name="Download Report" sheetId="4" r:id="rId3"/>
  </sheets>
  <definedNames>
    <definedName name="Manager_List">Teams!$I$8:$I$1048576</definedName>
    <definedName name="Region">Teams!#REF!</definedName>
    <definedName name="Slicer_Sales_Team_Region">#N/A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cker_360fac4a-9995-4fb6-97bd-60937b475747" name="Tracker" connection="Query - Tracker"/>
          <x15:modelTable id="Teams_a4a25fcf-8a93-483c-a354-56f447e6edf8" name="Teams" connection="Query - Teams"/>
          <x15:modelTable id="Calendar" name="Calendar" connection="Connection"/>
        </x15:modelTables>
        <x15:modelRelationships>
          <x15:modelRelationship fromTable="Tracker" fromColumn="Sales Agent" toTable="Teams" toColumn="Agent Name"/>
          <x15:modelRelationship fromTable="Tracker" fromColumn="Date" toTable="Calendar" toColumn="Date"/>
        </x15:modelRelationships>
      </x15:dataModel>
    </ext>
  </extLst>
</workbook>
</file>

<file path=xl/calcChain.xml><?xml version="1.0" encoding="utf-8"?>
<calcChain xmlns="http://schemas.openxmlformats.org/spreadsheetml/2006/main">
  <c r="O15" i="1" l="1"/>
  <c r="N15" i="1"/>
  <c r="D15" i="1"/>
  <c r="O14" i="1"/>
  <c r="N14" i="1"/>
  <c r="D14" i="1"/>
  <c r="O13" i="1"/>
  <c r="N13" i="1"/>
  <c r="D13" i="1"/>
  <c r="O12" i="1"/>
  <c r="N12" i="1"/>
  <c r="D12" i="1"/>
  <c r="O11" i="1"/>
  <c r="N11" i="1"/>
  <c r="D11" i="1"/>
  <c r="O10" i="1"/>
  <c r="N10" i="1"/>
  <c r="D10" i="1"/>
  <c r="O9" i="1"/>
  <c r="N9" i="1"/>
  <c r="D9" i="1"/>
  <c r="O8" i="1"/>
  <c r="N8" i="1"/>
  <c r="D8" i="1"/>
  <c r="O7" i="1"/>
  <c r="N7" i="1"/>
  <c r="D7" i="1"/>
  <c r="O6" i="1"/>
  <c r="N6" i="1"/>
  <c r="D6" i="1"/>
  <c r="O5" i="1"/>
  <c r="N5" i="1"/>
  <c r="D5" i="1"/>
  <c r="O4" i="1"/>
  <c r="N4" i="1"/>
  <c r="D4" i="1"/>
  <c r="XFB1" i="1"/>
  <c r="XFD1"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EE0E15-A26A-4E6F-9404-B5540B5C8AB8}" name="Connection" type="104" refreshedVersion="0" background="1">
    <extLst>
      <ext xmlns:x15="http://schemas.microsoft.com/office/spreadsheetml/2010/11/main" uri="{DE250136-89BD-433C-8126-D09CA5730AF9}">
        <x15:connection id="Calendar"/>
      </ext>
    </extLst>
  </connection>
  <connection id="2" xr16:uid="{36753450-B4DE-4790-91F6-35B92F16D0FF}" keepAlive="1" name="Query - Filtered Report" description="Connection to the 'Filtered Report' query in the workbook." type="5" refreshedVersion="8" background="1">
    <dbPr connection="Provider=Microsoft.Mashup.OleDb.1;Data Source=$Workbook$;Location=&quot;Filtered Report&quot;;Extended Properties=&quot;&quot;" command="SELECT * FROM [Filtered Report]"/>
  </connection>
  <connection id="3" xr16:uid="{19C65A9D-3DE6-40F3-9DA3-11DEC1CB9774}" keepAlive="1" name="Query - From_Date" description="Connection to the 'From_Date' query in the workbook." type="5" refreshedVersion="0" background="1">
    <dbPr connection="Provider=Microsoft.Mashup.OleDb.1;Data Source=$Workbook$;Location=From_Date;Extended Properties=&quot;&quot;" command="SELECT * FROM [From_Date]"/>
  </connection>
  <connection id="4" xr16:uid="{FED6D5AF-5503-41D1-BD20-0CF5610CEC84}" keepAlive="1" name="Query - Merged" description="Connection to the 'Merged' query in the workbook." type="5" refreshedVersion="0" background="1">
    <dbPr connection="Provider=Microsoft.Mashup.OleDb.1;Data Source=$Workbook$;Location=Merged;Extended Properties=&quot;&quot;" command="SELECT * FROM [Merged]"/>
  </connection>
  <connection id="5" xr16:uid="{98171BF2-C93E-4FEB-95B1-5551817C07AC}" name="Query - Teams" description="Connection to the 'Teams' query in the workbook." type="100" refreshedVersion="8" minRefreshableVersion="5">
    <extLst>
      <ext xmlns:x15="http://schemas.microsoft.com/office/spreadsheetml/2010/11/main" uri="{DE250136-89BD-433C-8126-D09CA5730AF9}">
        <x15:connection id="8b8ef298-1c19-4771-9265-b1ade4da6299"/>
      </ext>
    </extLst>
  </connection>
  <connection id="6" xr16:uid="{0E9AD941-2AD8-4239-A296-BA3F28721085}" keepAlive="1" name="Query - To_Date" description="Connection to the 'To_Date' query in the workbook." type="5" refreshedVersion="0" background="1">
    <dbPr connection="Provider=Microsoft.Mashup.OleDb.1;Data Source=$Workbook$;Location=To_Date;Extended Properties=&quot;&quot;" command="SELECT * FROM [To_Date]"/>
  </connection>
  <connection id="7" xr16:uid="{8993D13B-62F4-43ED-A7A3-F3905C72DFFE}" name="Query - Tracker" description="Connection to the 'Tracker' query in the workbook." type="100" refreshedVersion="8" minRefreshableVersion="5">
    <extLst>
      <ext xmlns:x15="http://schemas.microsoft.com/office/spreadsheetml/2010/11/main" uri="{DE250136-89BD-433C-8126-D09CA5730AF9}">
        <x15:connection id="c7144124-ccc7-4ddc-963c-f17b93a7b349"/>
      </ext>
    </extLst>
  </connection>
  <connection id="8" xr16:uid="{66DC49AD-5C64-47C5-AF76-4678D1C32B5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<sst xmlns="http://schemas.openxmlformats.org/spreadsheetml/2006/main" count="277" uniqueCount="110">
  <si>
    <t>Sales Rep</t>
  </si>
  <si>
    <t>Progress %</t>
  </si>
  <si>
    <t>MRR Category</t>
  </si>
  <si>
    <t>Region</t>
  </si>
  <si>
    <t>Sales Manager</t>
  </si>
  <si>
    <t>Rahul Singh</t>
  </si>
  <si>
    <t>Queensland</t>
  </si>
  <si>
    <t>Sydney</t>
  </si>
  <si>
    <t>Melbourne</t>
  </si>
  <si>
    <t>Brisbane</t>
  </si>
  <si>
    <t>Andrew Ballkin</t>
  </si>
  <si>
    <t>Teddy Flower</t>
  </si>
  <si>
    <t>Sonya Twain</t>
  </si>
  <si>
    <t>Robert Howes</t>
  </si>
  <si>
    <t>Patrick Howard</t>
  </si>
  <si>
    <t>Tim Pollock</t>
  </si>
  <si>
    <t>Mindy Claire</t>
  </si>
  <si>
    <t>Trip Manhowski</t>
  </si>
  <si>
    <t>Oswald Dahl</t>
  </si>
  <si>
    <t>Supriya Epuri Reddy</t>
  </si>
  <si>
    <t>Karl Porter</t>
  </si>
  <si>
    <t>Rebecca Clint</t>
  </si>
  <si>
    <t>Sheila D'hous</t>
  </si>
  <si>
    <t>Joe Dover</t>
  </si>
  <si>
    <t xml:space="preserve">Sales Team/Region </t>
  </si>
  <si>
    <t>Competitors</t>
  </si>
  <si>
    <t>Customer</t>
  </si>
  <si>
    <t>Opportunity / Angle</t>
  </si>
  <si>
    <t>Sales Agent</t>
  </si>
  <si>
    <t>Date</t>
  </si>
  <si>
    <t>Deal Size ($)</t>
  </si>
  <si>
    <t>Agent Name</t>
  </si>
  <si>
    <t>Do we know the Executive Sponsor?</t>
  </si>
  <si>
    <t>ROI Analysis Validated?</t>
  </si>
  <si>
    <t>Compelling Event Confirmed?</t>
  </si>
  <si>
    <t>Demo Last?</t>
  </si>
  <si>
    <t>Unique Value Established?</t>
  </si>
  <si>
    <t>Projected Revenue ($)</t>
  </si>
  <si>
    <t>Trxn. no.</t>
  </si>
  <si>
    <t>Designation</t>
  </si>
  <si>
    <t>Date Modified</t>
  </si>
  <si>
    <t>Our USP</t>
  </si>
  <si>
    <t>Product Pricing</t>
  </si>
  <si>
    <t>Rebecca Steel</t>
  </si>
  <si>
    <t>T47346</t>
  </si>
  <si>
    <t>Butterfly Annie</t>
  </si>
  <si>
    <t>T47728</t>
  </si>
  <si>
    <t>Klugg n Baker bricks</t>
  </si>
  <si>
    <t>The Boring Company</t>
  </si>
  <si>
    <t>Cust. Relationship</t>
  </si>
  <si>
    <t>T50502</t>
  </si>
  <si>
    <t>Sharjah Boring</t>
  </si>
  <si>
    <t>Imad Al-Sultan paints</t>
  </si>
  <si>
    <t>Our Goodwill</t>
  </si>
  <si>
    <t>T48714</t>
  </si>
  <si>
    <t>Rosoboronexport</t>
  </si>
  <si>
    <t>Mikhail Kravinoff</t>
  </si>
  <si>
    <t>T46038</t>
  </si>
  <si>
    <t>Opportunity Builders</t>
  </si>
  <si>
    <t>PrepMatter Constrc.</t>
  </si>
  <si>
    <t>Other</t>
  </si>
  <si>
    <t>T51601</t>
  </si>
  <si>
    <t>NA</t>
  </si>
  <si>
    <t>Mitter Builders</t>
  </si>
  <si>
    <t>T46190</t>
  </si>
  <si>
    <t>Oprah Storelines</t>
  </si>
  <si>
    <t>Discounts</t>
  </si>
  <si>
    <t>T46944</t>
  </si>
  <si>
    <t>Losorp Amenities</t>
  </si>
  <si>
    <t>Winfrey Sheds n Shacks</t>
  </si>
  <si>
    <t>T50026</t>
  </si>
  <si>
    <t>One48 Constructions</t>
  </si>
  <si>
    <t>Cust. Pain-Point</t>
  </si>
  <si>
    <t>T46727</t>
  </si>
  <si>
    <t>AeroFlats ltd</t>
  </si>
  <si>
    <t>Domestican highs corp.</t>
  </si>
  <si>
    <t>T46780</t>
  </si>
  <si>
    <t>Shaun's Domestica</t>
  </si>
  <si>
    <t>Sonya. Twain@mycompany.com</t>
  </si>
  <si>
    <t>Rahul. Singh@mycompany.com</t>
  </si>
  <si>
    <t>Robert.t Howes@mycompany.com</t>
  </si>
  <si>
    <t>Patrick.k Howard@mycompany.com</t>
  </si>
  <si>
    <t>Tim.lock@mycompany.com</t>
  </si>
  <si>
    <t>Mindy.Claire@mycompany.com</t>
  </si>
  <si>
    <t>Trip.owski@mycompany.com</t>
  </si>
  <si>
    <t>Oswald.ld Dahl@mycompany.com</t>
  </si>
  <si>
    <t>Supriya.ri Reddy@mycompany.com</t>
  </si>
  <si>
    <t>Karl.orter@mycompany.com</t>
  </si>
  <si>
    <t>Rebecca.ca Clint@mycompany.com</t>
  </si>
  <si>
    <t>Sheila. D'hous@mycompany.com</t>
  </si>
  <si>
    <t>Joe.over@mycompany.com</t>
  </si>
  <si>
    <t>Email</t>
  </si>
  <si>
    <t>Date From:</t>
  </si>
  <si>
    <t>Date To:</t>
  </si>
  <si>
    <t>T52281</t>
  </si>
  <si>
    <t>LuLu group</t>
  </si>
  <si>
    <t>Goodwill</t>
  </si>
  <si>
    <t>DD-MM-YYYY</t>
  </si>
  <si>
    <t>To</t>
  </si>
  <si>
    <t>Baxter Lundy</t>
  </si>
  <si>
    <t>baxter.lundy@myclompany.com</t>
  </si>
  <si>
    <t>Deal behind Plan</t>
  </si>
  <si>
    <t>Predictable MRR</t>
  </si>
  <si>
    <t>(blank)</t>
  </si>
  <si>
    <t>_Deal Size ($)</t>
  </si>
  <si>
    <t>_Progress %</t>
  </si>
  <si>
    <t>_Projected Revenue ($)</t>
  </si>
  <si>
    <t>(All)</t>
  </si>
  <si>
    <t>Andrew.Ballkin@  mycompany.com</t>
  </si>
  <si>
    <t>Teddy.Flower@mycompany.co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</si>
</sst>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_);\(&quot;$&quot;#,##0.00\)"/>
    <numFmt numFmtId="164" formatCode="[$$-C09]#,##0.00;\-[$$-C09]#,##0.00"/>
    <numFmt numFmtId="165" formatCode="yyyy/mm/dd;@"/>
    <numFmt numFmtId="166" formatCode="[$-409]d/mmm/yyyy;@"/>
  </numFmts>
  <fonts count="7" x14ac:knownFonts="1">
    <font>
      <sz val="11"/>
      <color theme="1"/>
      <name val="Calibri"/>
      <family val="2"/>
      <scheme val="minor"/>
    </font>
    <font>
      <b/>
      <sz val="11"/>
      <color theme="1"/>
      <name val="Calibri"/>
      <family val="2"/>
      <scheme val="minor"/>
    </font>
    <font>
      <b/>
      <sz val="11"/>
      <color theme="7" tint="0.79998168889431442"/>
      <name val="Calibri"/>
      <family val="2"/>
      <scheme val="minor"/>
    </font>
    <font>
      <b/>
      <sz val="11"/>
      <color theme="5"/>
      <name val="Calibri"/>
      <family val="2"/>
      <scheme val="minor"/>
    </font>
    <font>
      <sz val="11"/>
      <color theme="0"/>
      <name val="Calibri"/>
      <family val="2"/>
      <scheme val="minor"/>
    </font>
    <font>
      <sz val="8"/>
      <name val="Calibri"/>
      <family val="2"/>
      <scheme val="minor"/>
    </font>
    <font>
      <b/>
      <sz val="11"/>
      <color rgb="FF0066CC"/>
      <name val="Aptos Display"/>
      <family val="2"/>
    </font>
  </fonts>
  <fills count="7">
    <fill>
      <patternFill patternType="none"/>
    </fill>
    <fill>
      <patternFill patternType="gray125"/>
    </fill>
    <fill>
      <patternFill patternType="solid">
        <fgColor theme="7" tint="0.79998168889431442"/>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0000"/>
        <bgColor indexed="64"/>
      </patternFill>
    </fill>
  </fills>
  <borders count="3">
    <border>
      <left/>
      <right/>
      <top/>
      <bottom/>
      <diagonal/>
    </border>
    <border>
      <left/>
      <right/>
      <top/>
      <bottom style="thin">
        <color theme="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5">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Alignment="1">
      <alignment vertical="center" wrapText="1"/>
    </xf>
    <xf numFmtId="9" fontId="0" fillId="0" borderId="0" xfId="0" applyNumberFormat="1" applyAlignment="1">
      <alignment horizontal="center" vertical="center" wrapText="1"/>
    </xf>
    <xf numFmtId="0" fontId="0" fillId="2" borderId="0" xfId="0" applyFill="1" applyAlignment="1">
      <alignment horizontal="center" vertical="center" wrapText="1"/>
    </xf>
    <xf numFmtId="3" fontId="0" fillId="0" borderId="0" xfId="0" applyNumberFormat="1" applyAlignment="1">
      <alignment horizontal="center" vertical="center" wrapText="1"/>
    </xf>
    <xf numFmtId="0" fontId="3" fillId="0" borderId="0" xfId="0" applyFont="1" applyAlignment="1">
      <alignment horizontal="center" vertical="center" wrapText="1"/>
    </xf>
    <xf numFmtId="164" fontId="0" fillId="0" borderId="0" xfId="0" applyNumberFormat="1" applyAlignment="1">
      <alignment horizontal="center" vertical="center" wrapText="1"/>
    </xf>
    <xf numFmtId="0" fontId="0" fillId="4" borderId="0" xfId="0" applyFill="1" applyAlignment="1">
      <alignment vertical="center" wrapText="1"/>
    </xf>
    <xf numFmtId="165" fontId="0" fillId="0" borderId="0" xfId="0" applyNumberFormat="1" applyAlignment="1">
      <alignment vertical="center" wrapText="1"/>
    </xf>
    <xf numFmtId="165" fontId="0" fillId="0" borderId="0" xfId="0" applyNumberFormat="1" applyAlignment="1">
      <alignment horizontal="center" vertical="center" wrapText="1"/>
    </xf>
    <xf numFmtId="1" fontId="0" fillId="5" borderId="0" xfId="0" applyNumberFormat="1" applyFill="1"/>
    <xf numFmtId="22" fontId="0" fillId="0" borderId="0" xfId="0" applyNumberFormat="1"/>
    <xf numFmtId="7" fontId="0" fillId="0" borderId="0" xfId="0" applyNumberFormat="1" applyAlignment="1">
      <alignment horizontal="center" vertical="center" wrapText="1"/>
    </xf>
    <xf numFmtId="0" fontId="0" fillId="6" borderId="0" xfId="0" applyFill="1"/>
    <xf numFmtId="0" fontId="2" fillId="3" borderId="0" xfId="0" applyFont="1" applyFill="1" applyAlignment="1">
      <alignment horizontal="center" vertical="center" wrapText="1"/>
    </xf>
    <xf numFmtId="0" fontId="2" fillId="6" borderId="0" xfId="0" applyFont="1" applyFill="1" applyAlignment="1">
      <alignment horizontal="center" vertical="center" wrapText="1"/>
    </xf>
    <xf numFmtId="0" fontId="2" fillId="6" borderId="1" xfId="0" applyFont="1" applyFill="1" applyBorder="1" applyAlignment="1">
      <alignment horizontal="center" vertical="center" wrapText="1"/>
    </xf>
    <xf numFmtId="0" fontId="0" fillId="6" borderId="1" xfId="0" applyFill="1" applyBorder="1"/>
    <xf numFmtId="0" fontId="1" fillId="6" borderId="1" xfId="0" applyFont="1" applyFill="1" applyBorder="1" applyAlignment="1">
      <alignment horizontal="centerContinuous"/>
    </xf>
    <xf numFmtId="0" fontId="0" fillId="6" borderId="1" xfId="0" applyFill="1" applyBorder="1" applyAlignment="1">
      <alignment horizontal="centerContinuous"/>
    </xf>
    <xf numFmtId="0" fontId="0" fillId="0" borderId="1" xfId="0" applyBorder="1"/>
    <xf numFmtId="0" fontId="0" fillId="0" borderId="0" xfId="0" applyAlignment="1">
      <alignment vertical="center"/>
    </xf>
    <xf numFmtId="166" fontId="0" fillId="0" borderId="0" xfId="0" applyNumberFormat="1" applyAlignment="1">
      <alignment horizontal="center"/>
    </xf>
    <xf numFmtId="0" fontId="1" fillId="0" borderId="2" xfId="0" applyFont="1" applyBorder="1"/>
    <xf numFmtId="0" fontId="0" fillId="0" borderId="0" xfId="0" pivotButton="1" applyAlignment="1">
      <alignment horizontal="center"/>
    </xf>
    <xf numFmtId="0" fontId="0" fillId="0" borderId="0" xfId="0" applyAlignment="1">
      <alignment horizontal="center"/>
    </xf>
    <xf numFmtId="14" fontId="0" fillId="0" borderId="0" xfId="0" applyNumberFormat="1" applyAlignment="1">
      <alignment horizontal="center"/>
    </xf>
    <xf numFmtId="9"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1" fillId="0" borderId="0" xfId="0" applyFont="1"/>
    <xf numFmtId="0" fontId="0" fillId="0" borderId="0" xfId="0" pivotButton="1"/>
    <xf numFmtId="14" fontId="0" fillId="0" borderId="0" xfId="0" applyNumberFormat="1"/>
  </cellXfs>
  <cellStyles count="1">
    <cellStyle name="Normal" xfId="0" builtinId="0"/>
  </cellStyles>
  <dxfs count="222">
    <dxf>
      <numFmt numFmtId="166" formatCode="[$-409]d/mmm/yyyy;@"/>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numFmt numFmtId="166" formatCode="[$-409]d/m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13" formatCode="0%"/>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font>
        <b val="0"/>
      </font>
    </dxf>
    <dxf>
      <font>
        <b val="0"/>
      </font>
    </dxf>
    <dxf>
      <font>
        <b val="0"/>
      </font>
    </dxf>
    <dxf>
      <font>
        <b val="0"/>
      </font>
    </dxf>
    <dxf>
      <font>
        <b val="0"/>
      </font>
    </dxf>
    <dxf>
      <font>
        <b val="0"/>
      </font>
    </dxf>
    <dxf>
      <alignment horizontal="general" vertical="center"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horizontal="center"/>
    </dxf>
    <dxf>
      <alignment horizontal="center"/>
    </dxf>
    <dxf>
      <alignment horizontal="general"/>
    </dxf>
    <dxf>
      <alignment horizontal="general"/>
    </dxf>
    <dxf>
      <alignment horizontal="general"/>
    </dxf>
    <dxf>
      <alignment horizontal="general"/>
    </dxf>
    <dxf>
      <alignment horizontal="general"/>
    </dxf>
    <dxf>
      <alignment horizontal="general"/>
    </dxf>
    <dxf>
      <alignment horizontal="general"/>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numFmt numFmtId="165" formatCode="yyyy/mm/dd;@"/>
      <alignment horizontal="general" vertical="center" textRotation="0" wrapText="1" indent="0" justifyLastLine="0" shrinkToFit="0" readingOrder="0"/>
    </dxf>
    <dxf>
      <numFmt numFmtId="11" formatCode="&quot;$&quot;#,##0.00_);\(&quot;$&quot;#,##0.00\)"/>
      <fill>
        <patternFill patternType="none">
          <fgColor indexed="64"/>
          <bgColor auto="1"/>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fill>
        <patternFill patternType="solid">
          <fgColor indexed="64"/>
          <bgColor theme="7" tint="0.79998168889431442"/>
        </patternFill>
      </fill>
      <alignment horizontal="center" vertical="center" textRotation="0" wrapText="1" indent="0" justifyLastLine="0" shrinkToFit="0" readingOrder="0"/>
    </dxf>
    <dxf>
      <numFmt numFmtId="164" formatCode="[$$-C09]#,##0.00;\-[$$-C09]#,##0.00"/>
      <alignment horizontal="center" vertical="center" textRotation="0" wrapText="1" indent="0" justifyLastLine="0" shrinkToFit="0" readingOrder="0"/>
    </dxf>
    <dxf>
      <numFmt numFmtId="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yyyy/mm/dd;@"/>
      <alignment horizontal="center" vertical="center" textRotation="0" wrapText="1" indent="0" justifyLastLine="0" shrinkToFit="0" readingOrder="0"/>
    </dxf>
    <dxf>
      <fill>
        <patternFill patternType="solid">
          <fgColor indexed="64"/>
          <bgColor theme="0" tint="-0.14999847407452621"/>
        </patternFill>
      </fill>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color theme="9"/>
      </font>
    </dxf>
    <dxf>
      <font>
        <b/>
        <i val="0"/>
        <color rgb="FF9C0006"/>
      </font>
      <fill>
        <patternFill patternType="none">
          <bgColor auto="1"/>
        </patternFill>
      </fill>
    </dxf>
    <dxf>
      <font>
        <b val="0"/>
        <i val="0"/>
        <color theme="9" tint="-0.24994659260841701"/>
      </font>
    </dxf>
    <dxf>
      <font>
        <b/>
        <i val="0"/>
        <color theme="0"/>
      </font>
      <fill>
        <patternFill>
          <fgColor auto="1"/>
          <bgColor theme="8"/>
        </patternFill>
      </fill>
      <border diagonalUp="1">
        <bottom style="thin">
          <color auto="1"/>
        </bottom>
        <diagonal style="thin">
          <color auto="1"/>
        </diagonal>
      </border>
    </dxf>
    <dxf>
      <fill>
        <patternFill>
          <fgColor auto="1"/>
          <bgColor theme="8" tint="0.59996337778862885"/>
        </patternFill>
      </fill>
      <border diagonalUp="0" diagonalDown="0">
        <left/>
        <right/>
        <top/>
        <bottom/>
        <vertical/>
        <horizontal/>
      </border>
    </dxf>
    <dxf>
      <font>
        <b/>
        <i val="0"/>
        <color theme="0"/>
      </font>
      <fill>
        <patternFill>
          <fgColor theme="8"/>
        </patternFill>
      </fill>
      <border diagonalDown="1">
        <left/>
        <right/>
        <top/>
        <bottom style="thin">
          <color auto="1"/>
        </bottom>
        <diagonal style="thin">
          <color auto="1"/>
        </diagonal>
      </border>
    </dxf>
    <dxf>
      <fill>
        <patternFill>
          <fgColor theme="8" tint="0.59996337778862885"/>
        </patternFill>
      </fill>
    </dxf>
    <dxf>
      <border>
        <left/>
        <right/>
        <top/>
        <bottom/>
      </border>
    </dxf>
    <dxf>
      <fill>
        <patternFill>
          <bgColor theme="8" tint="0.59996337778862885"/>
        </patternFill>
      </fill>
      <border>
        <bottom/>
      </border>
    </dxf>
    <dxf>
      <fill>
        <patternFill>
          <bgColor theme="8" tint="0.59996337778862885"/>
        </patternFill>
      </fill>
    </dxf>
    <dxf>
      <font>
        <color theme="0"/>
      </font>
      <fill>
        <patternFill>
          <bgColor rgb="FF0070C0"/>
        </patternFill>
      </fill>
      <border diagonalUp="0" diagonalDown="0">
        <left/>
        <right/>
        <top/>
        <bottom/>
        <vertical/>
        <horizontal/>
      </border>
    </dxf>
    <dxf>
      <fill>
        <patternFill>
          <bgColor theme="8" tint="0.79998168889431442"/>
        </patternFill>
      </fill>
      <border diagonalUp="0" diagonalDown="0">
        <left/>
        <right/>
        <top/>
        <bottom/>
        <vertical/>
        <horizontal/>
      </border>
    </dxf>
    <dxf>
      <font>
        <b/>
        <i val="0"/>
      </font>
      <fill>
        <patternFill patternType="none">
          <bgColor auto="1"/>
        </patternFill>
      </fill>
      <border>
        <bottom style="thin">
          <color auto="1"/>
        </bottom>
      </border>
    </dxf>
    <dxf>
      <fill>
        <patternFill>
          <bgColor theme="8" tint="0.79998168889431442"/>
        </patternFill>
      </fill>
    </dxf>
  </dxfs>
  <tableStyles count="9" defaultTableStyle="TableStyleMedium2" defaultPivotStyle="PivotStyleLight16">
    <tableStyle name="BlueYellow_Light_Theme_Slicer" pivot="0" table="0" count="5" xr9:uid="{6B062524-C126-4949-A088-F3D50EE4D324}">
      <tableStyleElement type="wholeTable" dxfId="221"/>
      <tableStyleElement type="headerRow" dxfId="220"/>
    </tableStyle>
    <tableStyle name="BlueYellow_Theme_Slicer" pivot="0" table="0" count="6" xr9:uid="{4DBC5666-BFED-4979-BA2E-1BDC80FF8A69}">
      <tableStyleElement type="wholeTable" dxfId="219"/>
      <tableStyleElement type="headerRow" dxfId="218"/>
    </tableStyle>
    <tableStyle name="BlueYellow_Theme_Slicer_Full" pivot="0" table="0" count="5" xr9:uid="{DE5F084A-0A7B-451A-88F5-5830C50D7E1A}">
      <tableStyleElement type="wholeTable" dxfId="217"/>
      <tableStyleElement type="headerRow" dxfId="216"/>
    </tableStyle>
    <tableStyle name="My Slicer Style 1" pivot="0" table="0" count="1" xr9:uid="{A6936648-BFB7-42CF-B6DF-8A5AFE2A757D}">
      <tableStyleElement type="wholeTable" dxfId="215"/>
    </tableStyle>
    <tableStyle name="Slicer Style 1" pivot="0" table="0" count="3" xr9:uid="{109B17EF-B168-44A2-85AF-81BAD0A1E440}"/>
    <tableStyle name="Slicer Style 2" pivot="0" table="0" count="3" xr9:uid="{9421169D-9E11-4A7F-B8A4-E7092E382D33}"/>
    <tableStyle name="Slicer Style 3" pivot="0" table="0" count="6" xr9:uid="{FCC3D988-C1D2-4F93-8203-F5D9A340BF21}"/>
    <tableStyle name="Slicer Style 4" pivot="0" table="0" count="6" xr9:uid="{A727AA3D-B597-4A23-8329-10DB1B0914EF}">
      <tableStyleElement type="wholeTable" dxfId="214"/>
      <tableStyleElement type="headerRow" dxfId="213"/>
    </tableStyle>
    <tableStyle name="Slicer Style 5" pivot="0" table="0" count="6" xr9:uid="{6B7FB978-93BF-4AE8-A637-01D15E743DE8}">
      <tableStyleElement type="wholeTable" dxfId="212"/>
      <tableStyleElement type="headerRow" dxfId="211"/>
    </tableStyle>
  </tableStyles>
  <colors>
    <mruColors>
      <color rgb="FF0099FF"/>
      <color rgb="FF227ACB"/>
      <color rgb="FF003400"/>
      <color rgb="FF000000"/>
    </mruColors>
  </colors>
  <extLst>
    <ext xmlns:x14="http://schemas.microsoft.com/office/spreadsheetml/2009/9/main" uri="{46F421CA-312F-682f-3DD2-61675219B42D}">
      <x14:dxfs count="30">
        <dxf>
          <font>
            <color theme="0"/>
          </font>
          <fill>
            <patternFill>
              <bgColor theme="8" tint="-0.24994659260841701"/>
            </patternFill>
          </fill>
        </dxf>
        <dxf>
          <font>
            <color theme="0"/>
          </font>
          <fill>
            <patternFill>
              <bgColor theme="8" tint="-0.24994659260841701"/>
            </patternFill>
          </fill>
        </dxf>
        <dxf>
          <font>
            <color theme="0"/>
          </font>
          <fill>
            <gradientFill degree="270">
              <stop position="0">
                <color theme="0"/>
              </stop>
              <stop position="1">
                <color theme="8" tint="-0.49803155613879818"/>
              </stop>
            </gradientFill>
          </fill>
        </dxf>
        <dxf>
          <fill>
            <gradientFill degree="90">
              <stop position="0">
                <color theme="0"/>
              </stop>
              <stop position="1">
                <color theme="7"/>
              </stop>
            </gradientFill>
          </fill>
        </dxf>
        <dxf>
          <fill>
            <patternFill>
              <fgColor theme="7" tint="0.79998168889431442"/>
            </patternFill>
          </fill>
        </dxf>
        <dxf>
          <fill>
            <patternFill>
              <fgColor theme="7" tint="0.79998168889431442"/>
            </patternFill>
          </fill>
        </dxf>
        <dxf>
          <fill>
            <gradientFill degree="90">
              <stop position="0">
                <color theme="0"/>
              </stop>
              <stop position="1">
                <color theme="7"/>
              </stop>
            </gradientFill>
          </fill>
        </dxf>
        <dxf>
          <fill>
            <gradientFill degree="90">
              <stop position="0">
                <color theme="0"/>
              </stop>
              <stop position="1">
                <color theme="7" tint="0.59999389629810485"/>
              </stop>
            </gradientFill>
          </fill>
        </dxf>
        <dxf>
          <fill>
            <patternFill>
              <fgColor theme="7" tint="0.79998168889431442"/>
            </patternFill>
          </fill>
        </dxf>
        <dxf>
          <fill>
            <patternFill>
              <fgColor theme="7" tint="0.79998168889431442"/>
            </patternFill>
          </fill>
        </dxf>
        <dxf>
          <fill>
            <patternFill>
              <fgColor theme="7"/>
            </patternFill>
          </fill>
        </dxf>
        <dxf>
          <fill>
            <gradientFill degree="270">
              <stop position="0">
                <color theme="0"/>
              </stop>
              <stop position="1">
                <color theme="7"/>
              </stop>
            </gradientFill>
          </fill>
        </dxf>
        <dxf>
          <fill>
            <gradientFill degree="90">
              <stop position="0">
                <color theme="0"/>
              </stop>
              <stop position="1">
                <color rgb="FF227ACB"/>
              </stop>
            </gradientFill>
          </fill>
        </dxf>
        <dxf>
          <fill>
            <gradientFill degree="90">
              <stop position="0">
                <color theme="0"/>
              </stop>
              <stop position="1">
                <color rgb="FF227ACB"/>
              </stop>
            </gradientFill>
          </fill>
        </dxf>
        <dxf>
          <fill>
            <gradientFill degree="90">
              <stop position="0">
                <color theme="0"/>
              </stop>
              <stop position="1">
                <color theme="7" tint="0.80001220740379042"/>
              </stop>
            </gradientFill>
          </fill>
        </dxf>
        <dxf>
          <fill>
            <gradientFill degree="90">
              <stop position="0">
                <color theme="0"/>
              </stop>
              <stop position="1">
                <color theme="7"/>
              </stop>
            </gradientFill>
          </fill>
        </dxf>
        <dxf>
          <fill>
            <gradientFill degree="90">
              <stop position="0">
                <color theme="0"/>
              </stop>
              <stop position="1">
                <color theme="7"/>
              </stop>
            </gradientFill>
          </fill>
        </dxf>
        <dxf>
          <fill>
            <patternFill>
              <fgColor theme="4" tint="0.79998168889431442"/>
            </patternFill>
          </fill>
        </dxf>
        <dxf>
          <fill>
            <patternFill>
              <fgColor theme="4" tint="0.79998168889431442"/>
            </patternFill>
          </fill>
        </dxf>
        <dxf>
          <fill>
            <gradientFill degree="90">
              <stop position="0">
                <color theme="0"/>
              </stop>
              <stop position="1">
                <color rgb="FF227ACB"/>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tint="0.59999389629810485"/>
              </stop>
            </gradientFill>
          </fill>
        </dxf>
        <dxf>
          <font>
            <color theme="0"/>
          </font>
          <fill>
            <gradientFill degree="90">
              <stop position="0">
                <color theme="0"/>
              </stop>
              <stop position="1">
                <color rgb="FF0070C0"/>
              </stop>
            </gradientFill>
          </fill>
        </dxf>
        <dxf>
          <fill>
            <patternFill>
              <bgColor theme="7" tint="0.59996337778862885"/>
            </patternFill>
          </fill>
        </dxf>
        <dxf>
          <fill>
            <patternFill>
              <bgColor theme="7" tint="0.59996337778862885"/>
            </patternFill>
          </fill>
        </dxf>
        <dxf>
          <fill>
            <gradientFill degree="90">
              <stop position="0">
                <color theme="0"/>
              </stop>
              <stop position="1">
                <color theme="7"/>
              </stop>
            </gradientFill>
          </fill>
        </dxf>
      </x14:dxfs>
    </ext>
    <ext xmlns:x14="http://schemas.microsoft.com/office/spreadsheetml/2009/9/main" uri="{EB79DEF2-80B8-43e5-95BD-54CBDDF9020C}">
      <x14:slicerStyles defaultSlicerStyle="Slicer Style 2">
        <x14:slicerStyle name="BlueYellow_Light_Theme_Slicer">
          <x14:slicerStyleElements>
            <x14:slicerStyleElement type="selectedItemWithData" dxfId="29"/>
            <x14:slicerStyleElement type="hoveredUnselectedItemWithData" dxfId="28"/>
            <x14:slicerStyleElement type="hoveredSelectedItemWithData" dxfId="27"/>
          </x14:slicerStyleElements>
        </x14:slicerStyle>
        <x14:slicerStyle name="BlueYellow_Theme_Slicer">
          <x14:slicerStyleElements>
            <x14:slicerStyleElement type="unselectedItemWithData" dxfId="26"/>
            <x14:slicerStyleElement type="selectedItemWithData" dxfId="25"/>
            <x14:slicerStyleElement type="hoveredUnselectedItemWithData" dxfId="24"/>
            <x14:slicerStyleElement type="hoveredSelectedItemWithData" dxfId="23"/>
          </x14:slicerStyleElements>
        </x14:slicerStyle>
        <x14:slicerStyle name="BlueYellow_Theme_Slicer_Full">
          <x14:slicerStyleElements>
            <x14:slicerStyleElement type="selectedItemWithData" dxfId="22"/>
            <x14:slicerStyleElement type="hoveredUnselectedItemWithData" dxfId="21"/>
            <x14:slicerStyleElement type="hoveredSelectedItemWithData" dxfId="20"/>
          </x14:slicerStyleElements>
        </x14:slicerStyle>
        <x14:slicerStyle name="My Slicer Style 1"/>
        <x14:slicerStyle name="Slicer Style 1">
          <x14:slicerStyleElements>
            <x14:slicerStyleElement type="selectedItemWithData" dxfId="19"/>
            <x14:slicerStyleElement type="hoveredSelectedItemWithData" dxfId="18"/>
            <x14:slicerStyleElement type="hoveredSelectedItemWithNoData" dxfId="17"/>
          </x14:slicerStyleElements>
        </x14:slicerStyle>
        <x14:slicerStyle name="Slicer Style 2">
          <x14:slicerStyleElements>
            <x14:slicerStyleElement type="selectedItemWithData" dxfId="16"/>
            <x14:slicerStyleElement type="selectedItemWithNoData" dxfId="15"/>
            <x14:slicerStyleElement type="hoveredSelectedItemWithData" dxfId="14"/>
          </x14:slicerStyleElements>
        </x14:slicerStyle>
        <x14:slicerStyle name="Slicer Style 3">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s>
        </x14:slicerStyle>
        <x14:slicerStyle name="Slicer Style 4">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5">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5" Type="http://schemas.microsoft.com/office/2007/relationships/slicerCache" Target="slicerCaches/slicerCach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powerPivotData" Target="model/item.data"/><Relationship Id="rId19" Type="http://schemas.openxmlformats.org/officeDocument/2006/relationships/customXml" Target="../customXml/item8.xml"/><Relationship Id="rId31"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1.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hyperlink" Target="#Teams!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0.svg"/><Relationship Id="rId5" Type="http://schemas.openxmlformats.org/officeDocument/2006/relationships/image" Target="../media/image5.png"/><Relationship Id="rId10" Type="http://schemas.openxmlformats.org/officeDocument/2006/relationships/image" Target="../media/image9.png"/><Relationship Id="rId4" Type="http://schemas.openxmlformats.org/officeDocument/2006/relationships/image" Target="../media/image4.svg"/><Relationship Id="rId9" Type="http://schemas.openxmlformats.org/officeDocument/2006/relationships/hyperlink" Target="#'Download Report'!A1"/><Relationship Id="rId14" Type="http://schemas.openxmlformats.org/officeDocument/2006/relationships/image" Target="../media/image12.svg"/></Relationships>
</file>

<file path=xl/drawings/_rels/drawing3.xml.rels><?xml version="1.0" encoding="UTF-8" standalone="yes"?>
<Relationships xmlns="http://schemas.openxmlformats.org/package/2006/relationships"><Relationship Id="rId2" Type="http://schemas.openxmlformats.org/officeDocument/2006/relationships/image" Target="../media/image16.svg"/><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828676</xdr:colOff>
      <xdr:row>0</xdr:row>
      <xdr:rowOff>47625</xdr:rowOff>
    </xdr:from>
    <xdr:to>
      <xdr:col>2</xdr:col>
      <xdr:colOff>866775</xdr:colOff>
      <xdr:row>1</xdr:row>
      <xdr:rowOff>133351</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1409701" y="47625"/>
          <a:ext cx="914399" cy="276226"/>
          <a:chOff x="1552576" y="28575"/>
          <a:chExt cx="1057274" cy="323850"/>
        </a:xfrm>
      </xdr:grpSpPr>
      <xdr:sp macro="[0]!UFdelete_Form" textlink="">
        <xdr:nvSpPr>
          <xdr:cNvPr id="7" name="Rectangle: Rounded Corners 6">
            <a:extLst>
              <a:ext uri="{FF2B5EF4-FFF2-40B4-BE49-F238E27FC236}">
                <a16:creationId xmlns:a16="http://schemas.microsoft.com/office/drawing/2014/main" id="{00000000-0008-0000-0000-000007000000}"/>
              </a:ext>
            </a:extLst>
          </xdr:cNvPr>
          <xdr:cNvSpPr/>
        </xdr:nvSpPr>
        <xdr:spPr>
          <a:xfrm>
            <a:off x="1552576" y="28575"/>
            <a:ext cx="1057274" cy="3238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macro="[0]!UFdelete_Form">
        <xdr:nvPicPr>
          <xdr:cNvPr id="10" name="Graphic 9" descr="Clos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81175" y="47625"/>
            <a:ext cx="285750" cy="285750"/>
          </a:xfrm>
          <a:prstGeom prst="rect">
            <a:avLst/>
          </a:prstGeom>
        </xdr:spPr>
      </xdr:pic>
      <xdr:pic macro="[0]!UFdelete_Form">
        <xdr:nvPicPr>
          <xdr:cNvPr id="14" name="Graphic 13" descr="Pencil">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66926" y="38101"/>
            <a:ext cx="304800" cy="304800"/>
          </a:xfrm>
          <a:prstGeom prst="rect">
            <a:avLst/>
          </a:prstGeom>
        </xdr:spPr>
      </xdr:pic>
    </xdr:grpSp>
    <xdr:clientData/>
  </xdr:twoCellAnchor>
  <xdr:twoCellAnchor>
    <xdr:from>
      <xdr:col>0</xdr:col>
      <xdr:colOff>333375</xdr:colOff>
      <xdr:row>0</xdr:row>
      <xdr:rowOff>47625</xdr:rowOff>
    </xdr:from>
    <xdr:to>
      <xdr:col>1</xdr:col>
      <xdr:colOff>647700</xdr:colOff>
      <xdr:row>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333375" y="47625"/>
          <a:ext cx="895350" cy="285750"/>
          <a:chOff x="247650" y="28575"/>
          <a:chExt cx="1057276" cy="333376"/>
        </a:xfrm>
      </xdr:grpSpPr>
      <xdr:sp macro="[0]!UFenter_Form" textlink="">
        <xdr:nvSpPr>
          <xdr:cNvPr id="4" name="Rectangle: Rounded Corners 3">
            <a:extLst>
              <a:ext uri="{FF2B5EF4-FFF2-40B4-BE49-F238E27FC236}">
                <a16:creationId xmlns:a16="http://schemas.microsoft.com/office/drawing/2014/main" id="{00000000-0008-0000-0000-000004000000}"/>
              </a:ext>
            </a:extLst>
          </xdr:cNvPr>
          <xdr:cNvSpPr/>
        </xdr:nvSpPr>
        <xdr:spPr>
          <a:xfrm>
            <a:off x="247650" y="28575"/>
            <a:ext cx="1057276" cy="32385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macro="[0]!UFenter_Form">
        <xdr:nvPicPr>
          <xdr:cNvPr id="12" name="Graphic 11" descr="Add">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14350" y="38100"/>
            <a:ext cx="266699" cy="266699"/>
          </a:xfrm>
          <a:prstGeom prst="rect">
            <a:avLst/>
          </a:prstGeom>
        </xdr:spPr>
      </xdr:pic>
      <xdr:pic macro="[0]!UFenter_Form">
        <xdr:nvPicPr>
          <xdr:cNvPr id="16" name="Graphic 15" descr="Document">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62000" y="38101"/>
            <a:ext cx="323850" cy="323850"/>
          </a:xfrm>
          <a:prstGeom prst="rect">
            <a:avLst/>
          </a:prstGeom>
        </xdr:spPr>
      </xdr:pic>
    </xdr:grpSp>
    <xdr:clientData/>
  </xdr:twoCellAnchor>
  <xdr:twoCellAnchor>
    <xdr:from>
      <xdr:col>3</xdr:col>
      <xdr:colOff>666750</xdr:colOff>
      <xdr:row>0</xdr:row>
      <xdr:rowOff>47625</xdr:rowOff>
    </xdr:from>
    <xdr:to>
      <xdr:col>4</xdr:col>
      <xdr:colOff>161925</xdr:colOff>
      <xdr:row>1</xdr:row>
      <xdr:rowOff>123825</xdr:rowOff>
    </xdr:to>
    <xdr:grpSp>
      <xdr:nvGrpSpPr>
        <xdr:cNvPr id="9" name="Group 8">
          <a:extLst>
            <a:ext uri="{FF2B5EF4-FFF2-40B4-BE49-F238E27FC236}">
              <a16:creationId xmlns:a16="http://schemas.microsoft.com/office/drawing/2014/main" id="{D62035BC-E773-4838-E75A-C29E6E02AE17}"/>
            </a:ext>
          </a:extLst>
        </xdr:cNvPr>
        <xdr:cNvGrpSpPr/>
      </xdr:nvGrpSpPr>
      <xdr:grpSpPr>
        <a:xfrm>
          <a:off x="3619500" y="47625"/>
          <a:ext cx="990600" cy="266700"/>
          <a:chOff x="2486025" y="57150"/>
          <a:chExt cx="990600" cy="266700"/>
        </a:xfrm>
      </xdr:grpSpPr>
      <xdr:sp macro="" textlink="">
        <xdr:nvSpPr>
          <xdr:cNvPr id="2" name="Rectangle: Rounded Corners 1">
            <a:hlinkClick xmlns:r="http://schemas.openxmlformats.org/officeDocument/2006/relationships" r:id="rId9"/>
            <a:extLst>
              <a:ext uri="{FF2B5EF4-FFF2-40B4-BE49-F238E27FC236}">
                <a16:creationId xmlns:a16="http://schemas.microsoft.com/office/drawing/2014/main" id="{EF08732E-3FD1-BEC3-BDA1-2FC78D2463FC}"/>
              </a:ext>
            </a:extLst>
          </xdr:cNvPr>
          <xdr:cNvSpPr/>
        </xdr:nvSpPr>
        <xdr:spPr>
          <a:xfrm>
            <a:off x="2486025" y="66675"/>
            <a:ext cx="990600" cy="25717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xdr:nvPicPr>
          <xdr:cNvPr id="5" name="Graphic 4" descr="Download">
            <a:hlinkClick xmlns:r="http://schemas.openxmlformats.org/officeDocument/2006/relationships" r:id="rId9"/>
            <a:extLst>
              <a:ext uri="{FF2B5EF4-FFF2-40B4-BE49-F238E27FC236}">
                <a16:creationId xmlns:a16="http://schemas.microsoft.com/office/drawing/2014/main" id="{08AAC7E9-7C14-D1B3-A136-3A2B2B7DB3E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724150" y="57150"/>
            <a:ext cx="438150" cy="266700"/>
          </a:xfrm>
          <a:prstGeom prst="rect">
            <a:avLst/>
          </a:prstGeom>
        </xdr:spPr>
      </xdr:pic>
    </xdr:grpSp>
    <xdr:clientData/>
  </xdr:twoCellAnchor>
  <xdr:twoCellAnchor>
    <xdr:from>
      <xdr:col>2</xdr:col>
      <xdr:colOff>1047750</xdr:colOff>
      <xdr:row>0</xdr:row>
      <xdr:rowOff>0</xdr:rowOff>
    </xdr:from>
    <xdr:to>
      <xdr:col>3</xdr:col>
      <xdr:colOff>485775</xdr:colOff>
      <xdr:row>2</xdr:row>
      <xdr:rowOff>9525</xdr:rowOff>
    </xdr:to>
    <xdr:grpSp>
      <xdr:nvGrpSpPr>
        <xdr:cNvPr id="22" name="Group 21">
          <a:extLst>
            <a:ext uri="{FF2B5EF4-FFF2-40B4-BE49-F238E27FC236}">
              <a16:creationId xmlns:a16="http://schemas.microsoft.com/office/drawing/2014/main" id="{5BC20171-8BB8-09E7-482C-43A3908EAA5A}"/>
            </a:ext>
          </a:extLst>
        </xdr:cNvPr>
        <xdr:cNvGrpSpPr/>
      </xdr:nvGrpSpPr>
      <xdr:grpSpPr>
        <a:xfrm>
          <a:off x="2505075" y="0"/>
          <a:ext cx="933450" cy="390525"/>
          <a:chOff x="3667125" y="0"/>
          <a:chExt cx="933450" cy="390525"/>
        </a:xfrm>
      </xdr:grpSpPr>
      <xdr:sp macro="" textlink="">
        <xdr:nvSpPr>
          <xdr:cNvPr id="13" name="Rectangle: Rounded Corners 12">
            <a:extLst>
              <a:ext uri="{FF2B5EF4-FFF2-40B4-BE49-F238E27FC236}">
                <a16:creationId xmlns:a16="http://schemas.microsoft.com/office/drawing/2014/main" id="{65A99DDA-75BA-AD99-DC85-2BA41DE4A68D}"/>
              </a:ext>
            </a:extLst>
          </xdr:cNvPr>
          <xdr:cNvSpPr/>
        </xdr:nvSpPr>
        <xdr:spPr>
          <a:xfrm>
            <a:off x="3667125" y="57150"/>
            <a:ext cx="933450" cy="26670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pic>
        <xdr:nvPicPr>
          <xdr:cNvPr id="19" name="Graphic 18" descr="Pencil">
            <a:hlinkClick xmlns:r="http://schemas.openxmlformats.org/officeDocument/2006/relationships" r:id="rId12"/>
            <a:extLst>
              <a:ext uri="{FF2B5EF4-FFF2-40B4-BE49-F238E27FC236}">
                <a16:creationId xmlns:a16="http://schemas.microsoft.com/office/drawing/2014/main" id="{51A9A148-6E59-41EA-CE5B-C069C3A44A2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00525" y="57150"/>
            <a:ext cx="257175" cy="257175"/>
          </a:xfrm>
          <a:prstGeom prst="rect">
            <a:avLst/>
          </a:prstGeom>
        </xdr:spPr>
      </xdr:pic>
      <xdr:pic>
        <xdr:nvPicPr>
          <xdr:cNvPr id="21" name="Graphic 20" descr="Users">
            <a:hlinkClick xmlns:r="http://schemas.openxmlformats.org/officeDocument/2006/relationships" r:id="rId12"/>
            <a:extLst>
              <a:ext uri="{FF2B5EF4-FFF2-40B4-BE49-F238E27FC236}">
                <a16:creationId xmlns:a16="http://schemas.microsoft.com/office/drawing/2014/main" id="{5DC3E5D2-3655-66D4-9FCD-85D832BEE69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771900" y="0"/>
            <a:ext cx="390525" cy="39052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600073</xdr:colOff>
      <xdr:row>1</xdr:row>
      <xdr:rowOff>66675</xdr:rowOff>
    </xdr:from>
    <xdr:to>
      <xdr:col>13</xdr:col>
      <xdr:colOff>47625</xdr:colOff>
      <xdr:row>2</xdr:row>
      <xdr:rowOff>142875</xdr:rowOff>
    </xdr:to>
    <xdr:grpSp>
      <xdr:nvGrpSpPr>
        <xdr:cNvPr id="4" name="Group 3">
          <a:extLst>
            <a:ext uri="{FF2B5EF4-FFF2-40B4-BE49-F238E27FC236}">
              <a16:creationId xmlns:a16="http://schemas.microsoft.com/office/drawing/2014/main" id="{A5AC1603-564E-5C0C-D42A-4F84D8A1CAED}"/>
            </a:ext>
          </a:extLst>
        </xdr:cNvPr>
        <xdr:cNvGrpSpPr/>
      </xdr:nvGrpSpPr>
      <xdr:grpSpPr>
        <a:xfrm>
          <a:off x="7258048" y="257175"/>
          <a:ext cx="8610602" cy="266700"/>
          <a:chOff x="8324850" y="257175"/>
          <a:chExt cx="4314826" cy="266700"/>
        </a:xfrm>
      </xdr:grpSpPr>
      <xdr:sp macro="" textlink="">
        <xdr:nvSpPr>
          <xdr:cNvPr id="2" name="Rectangle: Rounded Corners 1">
            <a:extLst>
              <a:ext uri="{FF2B5EF4-FFF2-40B4-BE49-F238E27FC236}">
                <a16:creationId xmlns:a16="http://schemas.microsoft.com/office/drawing/2014/main" id="{26109BD6-617D-51FD-59D8-D425F05393DA}"/>
              </a:ext>
            </a:extLst>
          </xdr:cNvPr>
          <xdr:cNvSpPr/>
        </xdr:nvSpPr>
        <xdr:spPr>
          <a:xfrm>
            <a:off x="8324850" y="257175"/>
            <a:ext cx="4314826" cy="2667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2EA524F6-FC7E-9080-26D7-09BECDA4D40E}"/>
              </a:ext>
            </a:extLst>
          </xdr:cNvPr>
          <xdr:cNvSpPr txBox="1"/>
        </xdr:nvSpPr>
        <xdr:spPr>
          <a:xfrm>
            <a:off x="8943975" y="295275"/>
            <a:ext cx="2876550" cy="17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aseline="0">
                <a:solidFill>
                  <a:srgbClr val="003400"/>
                </a:solidFill>
              </a:rPr>
              <a:t>Teams who have Worked</a:t>
            </a:r>
            <a:r>
              <a:rPr lang="en-US" sz="1400" baseline="0">
                <a:solidFill>
                  <a:srgbClr val="003400"/>
                </a:solidFill>
                <a:latin typeface="+mn-lt"/>
                <a:ea typeface="+mn-ea"/>
                <a:cs typeface="+mn-cs"/>
              </a:rPr>
              <a: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xdr:row>
          <xdr:rowOff>0</xdr:rowOff>
        </xdr:from>
        <xdr:to>
          <xdr:col>1</xdr:col>
          <xdr:colOff>476250</xdr:colOff>
          <xdr:row>3</xdr:row>
          <xdr:rowOff>28575</xdr:rowOff>
        </xdr:to>
        <xdr:sp macro="" textlink="">
          <xdr:nvSpPr>
            <xdr:cNvPr id="4098" name="CbCalendar_From"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xdr:row>
          <xdr:rowOff>0</xdr:rowOff>
        </xdr:from>
        <xdr:to>
          <xdr:col>3</xdr:col>
          <xdr:colOff>476250</xdr:colOff>
          <xdr:row>3</xdr:row>
          <xdr:rowOff>28575</xdr:rowOff>
        </xdr:to>
        <xdr:sp macro="" textlink="">
          <xdr:nvSpPr>
            <xdr:cNvPr id="4100" name="CbCalendar_TO"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4</xdr:row>
      <xdr:rowOff>114300</xdr:rowOff>
    </xdr:from>
    <xdr:to>
      <xdr:col>3</xdr:col>
      <xdr:colOff>1095375</xdr:colOff>
      <xdr:row>8</xdr:row>
      <xdr:rowOff>9525</xdr:rowOff>
    </xdr:to>
    <mc:AlternateContent xmlns:mc="http://schemas.openxmlformats.org/markup-compatibility/2006">
      <mc:Choice xmlns:a14="http://schemas.microsoft.com/office/drawing/2010/main" Requires="a14">
        <xdr:graphicFrame macro="">
          <xdr:nvGraphicFramePr>
            <xdr:cNvPr id="2" name="Sales Team/Region ">
              <a:extLst>
                <a:ext uri="{FF2B5EF4-FFF2-40B4-BE49-F238E27FC236}">
                  <a16:creationId xmlns:a16="http://schemas.microsoft.com/office/drawing/2014/main" id="{5E080C20-4992-EAFE-5300-71453C61C230}"/>
                </a:ext>
              </a:extLst>
            </xdr:cNvPr>
            <xdr:cNvGraphicFramePr/>
          </xdr:nvGraphicFramePr>
          <xdr:xfrm>
            <a:off x="0" y="0"/>
            <a:ext cx="0" cy="0"/>
          </xdr:xfrm>
          <a:graphic>
            <a:graphicData uri="http://schemas.microsoft.com/office/drawing/2010/slicer">
              <sle:slicer xmlns:sle="http://schemas.microsoft.com/office/drawing/2010/slicer" name="Sales Team/Region "/>
            </a:graphicData>
          </a:graphic>
        </xdr:graphicFrame>
      </mc:Choice>
      <mc:Fallback>
        <xdr:sp macro="" textlink="">
          <xdr:nvSpPr>
            <xdr:cNvPr id="0" name=""/>
            <xdr:cNvSpPr>
              <a:spLocks noTextEdit="1"/>
            </xdr:cNvSpPr>
          </xdr:nvSpPr>
          <xdr:spPr>
            <a:xfrm>
              <a:off x="0" y="876300"/>
              <a:ext cx="4981575" cy="657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1104900</xdr:colOff>
      <xdr:row>0</xdr:row>
      <xdr:rowOff>171450</xdr:rowOff>
    </xdr:from>
    <xdr:to>
      <xdr:col>5</xdr:col>
      <xdr:colOff>9525</xdr:colOff>
      <xdr:row>3</xdr:row>
      <xdr:rowOff>19050</xdr:rowOff>
    </xdr:to>
    <xdr:grpSp>
      <xdr:nvGrpSpPr>
        <xdr:cNvPr id="12" name="Group 11">
          <a:extLst>
            <a:ext uri="{FF2B5EF4-FFF2-40B4-BE49-F238E27FC236}">
              <a16:creationId xmlns:a16="http://schemas.microsoft.com/office/drawing/2014/main" id="{51573094-7F10-4F32-3889-6426A1373D16}"/>
            </a:ext>
          </a:extLst>
        </xdr:cNvPr>
        <xdr:cNvGrpSpPr/>
      </xdr:nvGrpSpPr>
      <xdr:grpSpPr>
        <a:xfrm>
          <a:off x="4991100" y="171450"/>
          <a:ext cx="2000250" cy="419100"/>
          <a:chOff x="4991104" y="171450"/>
          <a:chExt cx="2209800" cy="419100"/>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4991104" y="171450"/>
                <a:ext cx="2209800" cy="4191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66CC"/>
                    </a:solidFill>
                    <a:latin typeface="Aptos Display"/>
                  </a:rPr>
                  <a:t>           Download Report</a:t>
                </a:r>
              </a:p>
            </xdr:txBody>
          </xdr:sp>
        </mc:Choice>
        <mc:Fallback/>
      </mc:AlternateContent>
      <xdr:pic macro="[0]!Downld_Report">
        <xdr:nvPicPr>
          <xdr:cNvPr id="9" name="Graphic 8" descr="Download">
            <a:extLst>
              <a:ext uri="{FF2B5EF4-FFF2-40B4-BE49-F238E27FC236}">
                <a16:creationId xmlns:a16="http://schemas.microsoft.com/office/drawing/2014/main" id="{410E63E9-88C6-EEEB-636E-5AA94F5E7D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5011" y="171450"/>
            <a:ext cx="489013" cy="4191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83.732710416669" backgroundQuery="1" createdVersion="8" refreshedVersion="8" minRefreshableVersion="3" recordCount="12" xr:uid="{A93813B4-DA74-45CB-B421-5D702E15393E}">
  <cacheSource type="external" connectionId="2"/>
  <cacheFields count="19">
    <cacheField name="Trxn. no." numFmtId="0">
      <sharedItems count="12">
        <s v="T47346"/>
        <s v="T51601"/>
        <s v="T46944"/>
        <s v="T47728"/>
        <s v="T46780"/>
        <s v="T48714"/>
        <s v="T46190"/>
        <s v="T50502"/>
        <s v="T50026"/>
        <s v="T52281"/>
        <s v="T46038"/>
        <s v="T46727"/>
      </sharedItems>
    </cacheField>
    <cacheField name="Date" numFmtId="0">
      <sharedItems containsSemiMixedTypes="0" containsNonDate="0" containsDate="1" containsString="0" minDate="2025-04-07T00:00:00" maxDate="2025-04-30T00:00:00" count="3">
        <d v="2025-04-07T00:00:00"/>
        <d v="2025-04-08T00:00:00"/>
        <d v="2025-04-29T00:00:00"/>
      </sharedItems>
    </cacheField>
    <cacheField name="Sales Agent" numFmtId="0">
      <sharedItems count="6">
        <s v="Tim Pollock"/>
        <s v="Andrew Ballkin"/>
        <s v="Robert Howes"/>
        <s v="Teddy Flower"/>
        <s v="Rahul Singh"/>
        <s v="Patrick Howard"/>
      </sharedItems>
    </cacheField>
    <cacheField name="Sales Team/Region " numFmtId="0">
      <sharedItems count="2">
        <s v="Sydney"/>
        <s v="Queensland"/>
      </sharedItems>
    </cacheField>
    <cacheField name="Competitors" numFmtId="0">
      <sharedItems containsBlank="1" count="10">
        <s v="Rebecca Steel"/>
        <s v="NA"/>
        <s v="Losorp Amenities"/>
        <s v="Klugg n Baker bricks"/>
        <m/>
        <s v="Rosoboronexport"/>
        <s v="Sharjah Boring"/>
        <s v="One48 Constructions"/>
        <s v="Opportunity Builders"/>
        <s v="AeroFlats ltd"/>
      </sharedItems>
    </cacheField>
    <cacheField name="Customer" numFmtId="0">
      <sharedItems count="12">
        <s v="Butterfly Annie"/>
        <s v="Mitter Builders"/>
        <s v="Winfrey Sheds n Shacks"/>
        <s v="The Boring Company"/>
        <s v="Shaun's Domestica"/>
        <s v="Mikhail Kravinoff"/>
        <s v="Oprah Storelines"/>
        <s v="Imad Al-Sultan paints"/>
        <s v="Losorp Amenities"/>
        <s v="LuLu group"/>
        <s v="PrepMatter Constrc."/>
        <s v="Domestican highs corp."/>
      </sharedItems>
    </cacheField>
    <cacheField name="Opportunity / Angle" numFmtId="0">
      <sharedItems count="8">
        <s v="Our Goodwill"/>
        <s v="Product Pricing"/>
        <s v="Our USP"/>
        <s v="Discounts"/>
        <s v="Cust. Relationship"/>
        <s v="Cust. Pain-Point"/>
        <s v="Goodwill"/>
        <s v="Other"/>
      </sharedItems>
    </cacheField>
    <cacheField name="Deal Size ($)" numFmtId="0">
      <sharedItems containsSemiMixedTypes="0" containsString="0" containsNumber="1" containsInteger="1" minValue="5400" maxValue="500500" count="11">
        <n v="5500"/>
        <n v="60000"/>
        <n v="57000"/>
        <n v="500500"/>
        <n v="96000"/>
        <n v="8000"/>
        <n v="84000"/>
        <n v="80026"/>
        <n v="5400"/>
        <n v="84600"/>
        <n v="85600"/>
      </sharedItems>
    </cacheField>
    <cacheField name="Do we know the Executive Sponsor?" numFmtId="0">
      <sharedItems containsSemiMixedTypes="0" containsString="0" containsNumber="1" containsInteger="1" minValue="1" maxValue="1" count="1">
        <n v="1"/>
      </sharedItems>
    </cacheField>
    <cacheField name="ROI Analysis Validated?" numFmtId="0">
      <sharedItems containsSemiMixedTypes="0" containsString="0" containsNumber="1" containsInteger="1" minValue="1" maxValue="1" count="1">
        <n v="1"/>
      </sharedItems>
    </cacheField>
    <cacheField name="Compelling Event Confirmed?" numFmtId="0">
      <sharedItems containsSemiMixedTypes="0" containsString="0" containsNumber="1" containsInteger="1" minValue="0" maxValue="1" count="2">
        <n v="1"/>
        <n v="0"/>
      </sharedItems>
    </cacheField>
    <cacheField name="Demo Last?" numFmtId="0">
      <sharedItems containsSemiMixedTypes="0" containsString="0" containsNumber="1" containsInteger="1" minValue="0" maxValue="1" count="2">
        <n v="1"/>
        <n v="0"/>
      </sharedItems>
    </cacheField>
    <cacheField name="Unique Value Established?" numFmtId="0">
      <sharedItems containsSemiMixedTypes="0" containsString="0" containsNumber="1" containsInteger="1" minValue="1" maxValue="1" count="1">
        <n v="1"/>
      </sharedItems>
    </cacheField>
    <cacheField name="Progress %" numFmtId="0">
      <sharedItems containsSemiMixedTypes="0" containsString="0" containsNumber="1" minValue="0.25" maxValue="1" count="2">
        <n v="1"/>
        <n v="0.25"/>
      </sharedItems>
    </cacheField>
    <cacheField name="MRR Category" numFmtId="0">
      <sharedItems count="2">
        <s v="Predictable MRR"/>
        <s v="Deal behind Plan"/>
      </sharedItems>
    </cacheField>
    <cacheField name="Projected Revenue ($)" numFmtId="0">
      <sharedItems containsSemiMixedTypes="0" containsString="0" containsNumber="1" containsInteger="1" minValue="89995" maxValue="9800000" count="12">
        <n v="200000"/>
        <n v="800000"/>
        <n v="1000000"/>
        <n v="2000000"/>
        <n v="690000"/>
        <n v="350000"/>
        <n v="1500000"/>
        <n v="500000"/>
        <n v="89995"/>
        <n v="9800000"/>
        <n v="900000"/>
        <n v="960000"/>
      </sharedItems>
    </cacheField>
    <cacheField name="Date Modified" numFmtId="0">
      <sharedItems containsNonDate="0" containsDate="1" containsString="0" containsBlank="1" minDate="2025-04-07T00:00:00" maxDate="2025-04-09T00:00:00" count="3">
        <d v="2025-04-07T00:00:00"/>
        <m/>
        <d v="2025-04-08T00:00:00"/>
      </sharedItems>
    </cacheField>
    <cacheField name="Designation" numFmtId="0">
      <sharedItems count="2">
        <s v="Sales Rep"/>
        <s v="Sales Manager"/>
      </sharedItems>
    </cacheField>
    <cacheField name="Email" numFmtId="0">
      <sharedItems count="8">
        <s v="Tim.lock@mycompany.com"/>
        <s v="Andrew.Ballkin@  mycompany.com"/>
        <s v="Robert.t Howes@mycompany.com"/>
        <s v="Teddy.Flower@mycompany.co m"/>
        <s v="Rahul. Singh@mycompany.com"/>
        <s v="Patrick.k Howard@mycompany.com"/>
        <s v="Andrew.Ballkin@mycompany.com" u="1"/>
        <s v="Teddy.Flower@mycompany.com" u="1"/>
      </sharedItems>
    </cacheField>
  </cacheFields>
  <extLst>
    <ext xmlns:x14="http://schemas.microsoft.com/office/spreadsheetml/2009/9/main" uri="{725AE2AE-9491-48be-B2B4-4EB974FC3084}">
      <x14:pivotCacheDefinition pivotCacheId="846661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x v="0"/>
    <x v="0"/>
    <x v="0"/>
    <x v="0"/>
    <x v="0"/>
    <x v="0"/>
    <x v="0"/>
    <x v="0"/>
    <x v="0"/>
    <x v="0"/>
    <x v="0"/>
    <x v="0"/>
    <x v="0"/>
    <x v="0"/>
    <x v="0"/>
  </r>
  <r>
    <x v="1"/>
    <x v="1"/>
    <x v="0"/>
    <x v="0"/>
    <x v="1"/>
    <x v="1"/>
    <x v="1"/>
    <x v="1"/>
    <x v="0"/>
    <x v="0"/>
    <x v="0"/>
    <x v="0"/>
    <x v="0"/>
    <x v="0"/>
    <x v="0"/>
    <x v="1"/>
    <x v="1"/>
    <x v="0"/>
    <x v="0"/>
  </r>
  <r>
    <x v="2"/>
    <x v="1"/>
    <x v="1"/>
    <x v="1"/>
    <x v="2"/>
    <x v="2"/>
    <x v="1"/>
    <x v="2"/>
    <x v="0"/>
    <x v="0"/>
    <x v="1"/>
    <x v="0"/>
    <x v="0"/>
    <x v="1"/>
    <x v="1"/>
    <x v="2"/>
    <x v="1"/>
    <x v="1"/>
    <x v="1"/>
  </r>
  <r>
    <x v="3"/>
    <x v="0"/>
    <x v="2"/>
    <x v="0"/>
    <x v="3"/>
    <x v="3"/>
    <x v="2"/>
    <x v="3"/>
    <x v="0"/>
    <x v="0"/>
    <x v="0"/>
    <x v="0"/>
    <x v="0"/>
    <x v="0"/>
    <x v="0"/>
    <x v="3"/>
    <x v="0"/>
    <x v="1"/>
    <x v="2"/>
  </r>
  <r>
    <x v="4"/>
    <x v="1"/>
    <x v="2"/>
    <x v="0"/>
    <x v="4"/>
    <x v="4"/>
    <x v="1"/>
    <x v="4"/>
    <x v="0"/>
    <x v="0"/>
    <x v="0"/>
    <x v="1"/>
    <x v="0"/>
    <x v="1"/>
    <x v="1"/>
    <x v="4"/>
    <x v="1"/>
    <x v="1"/>
    <x v="2"/>
  </r>
  <r>
    <x v="5"/>
    <x v="0"/>
    <x v="3"/>
    <x v="1"/>
    <x v="5"/>
    <x v="5"/>
    <x v="1"/>
    <x v="5"/>
    <x v="0"/>
    <x v="0"/>
    <x v="0"/>
    <x v="0"/>
    <x v="0"/>
    <x v="0"/>
    <x v="0"/>
    <x v="5"/>
    <x v="0"/>
    <x v="0"/>
    <x v="3"/>
  </r>
  <r>
    <x v="6"/>
    <x v="1"/>
    <x v="3"/>
    <x v="1"/>
    <x v="4"/>
    <x v="6"/>
    <x v="3"/>
    <x v="6"/>
    <x v="0"/>
    <x v="0"/>
    <x v="0"/>
    <x v="0"/>
    <x v="0"/>
    <x v="0"/>
    <x v="0"/>
    <x v="6"/>
    <x v="1"/>
    <x v="0"/>
    <x v="3"/>
  </r>
  <r>
    <x v="7"/>
    <x v="0"/>
    <x v="4"/>
    <x v="1"/>
    <x v="6"/>
    <x v="7"/>
    <x v="4"/>
    <x v="7"/>
    <x v="0"/>
    <x v="0"/>
    <x v="1"/>
    <x v="0"/>
    <x v="0"/>
    <x v="1"/>
    <x v="1"/>
    <x v="7"/>
    <x v="1"/>
    <x v="0"/>
    <x v="4"/>
  </r>
  <r>
    <x v="8"/>
    <x v="1"/>
    <x v="4"/>
    <x v="1"/>
    <x v="7"/>
    <x v="8"/>
    <x v="5"/>
    <x v="8"/>
    <x v="0"/>
    <x v="0"/>
    <x v="0"/>
    <x v="0"/>
    <x v="0"/>
    <x v="0"/>
    <x v="0"/>
    <x v="8"/>
    <x v="1"/>
    <x v="0"/>
    <x v="4"/>
  </r>
  <r>
    <x v="9"/>
    <x v="2"/>
    <x v="4"/>
    <x v="1"/>
    <x v="4"/>
    <x v="9"/>
    <x v="6"/>
    <x v="9"/>
    <x v="0"/>
    <x v="0"/>
    <x v="0"/>
    <x v="0"/>
    <x v="0"/>
    <x v="0"/>
    <x v="0"/>
    <x v="9"/>
    <x v="1"/>
    <x v="0"/>
    <x v="4"/>
  </r>
  <r>
    <x v="10"/>
    <x v="1"/>
    <x v="5"/>
    <x v="0"/>
    <x v="8"/>
    <x v="10"/>
    <x v="7"/>
    <x v="6"/>
    <x v="0"/>
    <x v="0"/>
    <x v="0"/>
    <x v="1"/>
    <x v="0"/>
    <x v="1"/>
    <x v="1"/>
    <x v="10"/>
    <x v="2"/>
    <x v="0"/>
    <x v="5"/>
  </r>
  <r>
    <x v="11"/>
    <x v="1"/>
    <x v="5"/>
    <x v="0"/>
    <x v="9"/>
    <x v="11"/>
    <x v="5"/>
    <x v="10"/>
    <x v="0"/>
    <x v="0"/>
    <x v="0"/>
    <x v="0"/>
    <x v="0"/>
    <x v="0"/>
    <x v="0"/>
    <x v="11"/>
    <x v="1"/>
    <x v="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E83FFF-716B-4CA3-9959-E5FEE3DA1AE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H7:J13" firstHeaderRow="1" firstDataRow="1" firstDataCol="3" rowPageCount="1" colPageCount="1"/>
  <pivotFields count="19">
    <pivotField compact="0" outline="0" showAll="0" defaultSubtotal="0">
      <items count="12">
        <item x="10"/>
        <item x="6"/>
        <item x="11"/>
        <item x="4"/>
        <item x="2"/>
        <item x="0"/>
        <item x="3"/>
        <item x="5"/>
        <item x="8"/>
        <item x="7"/>
        <item x="1"/>
        <item x="9"/>
      </items>
    </pivotField>
    <pivotField compact="0" outline="0" showAll="0" defaultSubtotal="0">
      <items count="3">
        <item x="0"/>
        <item x="1"/>
        <item x="2"/>
      </items>
    </pivotField>
    <pivotField axis="axisRow" compact="0" outline="0" showAll="0" defaultSubtotal="0">
      <items count="6">
        <item x="1"/>
        <item x="5"/>
        <item x="4"/>
        <item x="2"/>
        <item x="3"/>
        <item x="0"/>
      </items>
    </pivotField>
    <pivotField axis="axisRow" compact="0" outline="0" showAll="0" defaultSubtotal="0">
      <items count="2">
        <item x="1"/>
        <item x="0"/>
      </items>
    </pivotField>
    <pivotField compact="0" outline="0" showAll="0" defaultSubtotal="0"/>
    <pivotField compact="0" outline="0" showAll="0" defaultSubtotal="0">
      <items count="12">
        <item x="0"/>
        <item x="7"/>
        <item x="8"/>
        <item x="9"/>
        <item x="5"/>
        <item x="1"/>
        <item x="6"/>
        <item x="11"/>
        <item x="10"/>
        <item x="4"/>
        <item x="3"/>
        <item x="2"/>
      </items>
    </pivotField>
    <pivotField compact="0" outline="0" showAll="0" defaultSubtotal="0">
      <items count="8">
        <item x="5"/>
        <item x="4"/>
        <item x="3"/>
        <item x="6"/>
        <item x="7"/>
        <item x="0"/>
        <item x="2"/>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outline="0" showAll="0" defaultSubtotal="0"/>
    <pivotField axis="axisPage" compact="0" outline="0" showAll="0" defaultSubtotal="0">
      <items count="2">
        <item x="1"/>
        <item x="0"/>
      </items>
    </pivotField>
    <pivotField axis="axisRow" compact="0" outline="0" showAll="0" defaultSubtotal="0">
      <items count="8">
        <item m="1" x="6"/>
        <item x="5"/>
        <item x="4"/>
        <item x="2"/>
        <item m="1" x="7"/>
        <item x="0"/>
        <item x="1"/>
        <item x="3"/>
      </items>
    </pivotField>
  </pivotFields>
  <rowFields count="3">
    <field x="3"/>
    <field x="2"/>
    <field x="18"/>
  </rowFields>
  <rowItems count="6">
    <i>
      <x/>
      <x/>
      <x v="6"/>
    </i>
    <i r="1">
      <x v="2"/>
      <x v="2"/>
    </i>
    <i r="1">
      <x v="4"/>
      <x v="7"/>
    </i>
    <i>
      <x v="1"/>
      <x v="1"/>
      <x v="1"/>
    </i>
    <i r="1">
      <x v="3"/>
      <x v="3"/>
    </i>
    <i r="1">
      <x v="5"/>
      <x v="5"/>
    </i>
  </rowItems>
  <colItems count="1">
    <i/>
  </colItems>
  <pageFields count="1">
    <pageField fld="17" hier="-1"/>
  </pageFields>
  <formats count="18">
    <format dxfId="170">
      <pivotArea type="all" dataOnly="0" outline="0" fieldPosition="0"/>
    </format>
    <format dxfId="169">
      <pivotArea outline="0" collapsedLevelsAreSubtotals="1" fieldPosition="0"/>
    </format>
    <format dxfId="168">
      <pivotArea field="0" type="button" dataOnly="0" labelOnly="1" outline="0"/>
    </format>
    <format dxfId="167">
      <pivotArea field="1" type="button" dataOnly="0" labelOnly="1" outline="0"/>
    </format>
    <format dxfId="166">
      <pivotArea field="3" type="button" dataOnly="0" labelOnly="1" outline="0" axis="axisRow" fieldPosition="0"/>
    </format>
    <format dxfId="165">
      <pivotArea field="5" type="button" dataOnly="0" labelOnly="1" outline="0"/>
    </format>
    <format dxfId="164">
      <pivotArea field="6" type="button" dataOnly="0" labelOnly="1" outline="0"/>
    </format>
    <format dxfId="163">
      <pivotArea field="14" type="button" dataOnly="0" labelOnly="1" outline="0"/>
    </format>
    <format dxfId="162">
      <pivotArea field="17" type="button" dataOnly="0" labelOnly="1" outline="0" axis="axisPage" fieldPosition="0"/>
    </format>
    <format dxfId="161">
      <pivotArea type="all" dataOnly="0" outline="0" fieldPosition="0"/>
    </format>
    <format dxfId="160">
      <pivotArea field="0" type="button" dataOnly="0" labelOnly="1" outline="0"/>
    </format>
    <format dxfId="159">
      <pivotArea field="3" type="button" dataOnly="0" labelOnly="1" outline="0" axis="axisRow" fieldPosition="0"/>
    </format>
    <format dxfId="158">
      <pivotArea field="5" type="button" dataOnly="0" labelOnly="1" outline="0"/>
    </format>
    <format dxfId="157">
      <pivotArea field="6" type="button" dataOnly="0" labelOnly="1" outline="0"/>
    </format>
    <format dxfId="156">
      <pivotArea field="14" type="button" dataOnly="0" labelOnly="1" outline="0"/>
    </format>
    <format dxfId="155">
      <pivotArea field="17" type="button" dataOnly="0" labelOnly="1" outline="0" axis="axisPage" fieldPosition="0"/>
    </format>
    <format dxfId="154">
      <pivotArea outline="0" collapsedLevelsAreSubtotals="1" fieldPosition="0"/>
    </format>
    <format dxfId="153">
      <pivotArea field="1" type="button" dataOnly="0" labelOnly="1" outline="0"/>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AFB46B-B054-4BB2-99EA-42B3FB40A12E}"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L7:M13" firstHeaderRow="1" firstDataRow="1" firstDataCol="2" rowPageCount="1" colPageCount="1"/>
  <pivotFields count="19">
    <pivotField compact="0" outline="0" showAll="0" defaultSubtotal="0">
      <items count="12">
        <item x="10"/>
        <item x="6"/>
        <item x="11"/>
        <item x="4"/>
        <item x="2"/>
        <item x="0"/>
        <item x="3"/>
        <item x="5"/>
        <item x="8"/>
        <item x="7"/>
        <item x="1"/>
        <item x="9"/>
      </items>
    </pivotField>
    <pivotField compact="0" outline="0" showAll="0" defaultSubtotal="0">
      <items count="3">
        <item x="0"/>
        <item x="1"/>
        <item x="2"/>
      </items>
    </pivotField>
    <pivotField axis="axisRow" compact="0" outline="0" showAll="0" defaultSubtotal="0">
      <items count="6">
        <item x="1"/>
        <item x="5"/>
        <item x="4"/>
        <item x="2"/>
        <item x="3"/>
        <item x="0"/>
      </items>
    </pivotField>
    <pivotField compact="0" outline="0" showAll="0" defaultSubtotal="0">
      <items count="2">
        <item x="1"/>
        <item x="0"/>
      </items>
    </pivotField>
    <pivotField compact="0" outline="0" showAll="0" defaultSubtotal="0"/>
    <pivotField compact="0" outline="0" showAll="0" defaultSubtotal="0">
      <items count="12">
        <item x="0"/>
        <item x="7"/>
        <item x="8"/>
        <item x="9"/>
        <item x="5"/>
        <item x="1"/>
        <item x="6"/>
        <item x="11"/>
        <item x="10"/>
        <item x="4"/>
        <item x="3"/>
        <item x="2"/>
      </items>
    </pivotField>
    <pivotField compact="0" outline="0" showAll="0" defaultSubtotal="0">
      <items count="8">
        <item x="5"/>
        <item x="4"/>
        <item x="3"/>
        <item x="6"/>
        <item x="7"/>
        <item x="0"/>
        <item x="2"/>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outline="0" showAll="0" defaultSubtotal="0"/>
    <pivotField axis="axisPage" compact="0" outline="0" showAll="0" defaultSubtotal="0">
      <items count="2">
        <item x="1"/>
        <item x="0"/>
      </items>
    </pivotField>
    <pivotField axis="axisRow" compact="0" outline="0" showAll="0" defaultSubtotal="0">
      <items count="8">
        <item m="1" x="6"/>
        <item x="5"/>
        <item x="4"/>
        <item x="2"/>
        <item m="1" x="7"/>
        <item x="0"/>
        <item x="1"/>
        <item x="3"/>
      </items>
    </pivotField>
  </pivotFields>
  <rowFields count="2">
    <field x="2"/>
    <field x="18"/>
  </rowFields>
  <rowItems count="6">
    <i>
      <x/>
      <x v="6"/>
    </i>
    <i>
      <x v="1"/>
      <x v="1"/>
    </i>
    <i>
      <x v="2"/>
      <x v="2"/>
    </i>
    <i>
      <x v="3"/>
      <x v="3"/>
    </i>
    <i>
      <x v="4"/>
      <x v="7"/>
    </i>
    <i>
      <x v="5"/>
      <x v="5"/>
    </i>
  </rowItems>
  <colItems count="1">
    <i/>
  </colItems>
  <pageFields count="1">
    <pageField fld="17" hier="-1"/>
  </pageFields>
  <formats count="18">
    <format dxfId="188">
      <pivotArea type="all" dataOnly="0" outline="0" fieldPosition="0"/>
    </format>
    <format dxfId="187">
      <pivotArea outline="0" collapsedLevelsAreSubtotals="1" fieldPosition="0"/>
    </format>
    <format dxfId="186">
      <pivotArea field="0" type="button" dataOnly="0" labelOnly="1" outline="0"/>
    </format>
    <format dxfId="185">
      <pivotArea field="1" type="button" dataOnly="0" labelOnly="1" outline="0"/>
    </format>
    <format dxfId="184">
      <pivotArea field="3" type="button" dataOnly="0" labelOnly="1" outline="0"/>
    </format>
    <format dxfId="183">
      <pivotArea field="5" type="button" dataOnly="0" labelOnly="1" outline="0"/>
    </format>
    <format dxfId="182">
      <pivotArea field="6" type="button" dataOnly="0" labelOnly="1" outline="0"/>
    </format>
    <format dxfId="181">
      <pivotArea field="14" type="button" dataOnly="0" labelOnly="1" outline="0"/>
    </format>
    <format dxfId="180">
      <pivotArea field="17" type="button" dataOnly="0" labelOnly="1" outline="0" axis="axisPage" fieldPosition="0"/>
    </format>
    <format dxfId="179">
      <pivotArea type="all" dataOnly="0" outline="0" fieldPosition="0"/>
    </format>
    <format dxfId="178">
      <pivotArea field="0" type="button" dataOnly="0" labelOnly="1" outline="0"/>
    </format>
    <format dxfId="177">
      <pivotArea field="3" type="button" dataOnly="0" labelOnly="1" outline="0"/>
    </format>
    <format dxfId="176">
      <pivotArea field="5" type="button" dataOnly="0" labelOnly="1" outline="0"/>
    </format>
    <format dxfId="175">
      <pivotArea field="6" type="button" dataOnly="0" labelOnly="1" outline="0"/>
    </format>
    <format dxfId="174">
      <pivotArea field="14" type="button" dataOnly="0" labelOnly="1" outline="0"/>
    </format>
    <format dxfId="173">
      <pivotArea field="17" type="button" dataOnly="0" labelOnly="1" outline="0" axis="axisPage" fieldPosition="0"/>
    </format>
    <format dxfId="172">
      <pivotArea outline="0" collapsedLevelsAreSubtotals="1" fieldPosition="0"/>
    </format>
    <format dxfId="171">
      <pivotArea field="1" type="button" dataOnly="0" labelOnly="1" outline="0"/>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41B6C3-E645-43C0-B8ED-D1B3D460E5F2}" name="Email_Report"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A12:K24" firstHeaderRow="0" firstDataRow="1" firstDataCol="8"/>
  <pivotFields count="19">
    <pivotField axis="axisRow" compact="0" outline="0" showAll="0" defaultSubtotal="0">
      <items count="12">
        <item x="10"/>
        <item x="6"/>
        <item x="11"/>
        <item x="4"/>
        <item x="2"/>
        <item x="0"/>
        <item x="3"/>
        <item x="5"/>
        <item x="8"/>
        <item x="7"/>
        <item x="1"/>
        <item x="9"/>
      </items>
    </pivotField>
    <pivotField axis="axisRow" compact="0" outline="0" showAll="0" defaultSubtotal="0">
      <items count="3">
        <item x="0"/>
        <item x="1"/>
        <item x="2"/>
      </items>
    </pivotField>
    <pivotField compact="0" outline="0" showAll="0" defaultSubtotal="0"/>
    <pivotField axis="axisRow" compact="0" outline="0" showAll="0" defaultSubtotal="0">
      <items count="2">
        <item x="1"/>
        <item x="0"/>
      </items>
    </pivotField>
    <pivotField axis="axisRow" compact="0" outline="0" showAll="0" defaultSubtotal="0">
      <items count="10">
        <item x="9"/>
        <item x="3"/>
        <item x="2"/>
        <item x="1"/>
        <item x="7"/>
        <item x="8"/>
        <item x="0"/>
        <item x="5"/>
        <item x="6"/>
        <item x="4"/>
      </items>
    </pivotField>
    <pivotField axis="axisRow" compact="0" outline="0" showAll="0" defaultSubtotal="0">
      <items count="12">
        <item x="0"/>
        <item x="7"/>
        <item x="8"/>
        <item x="9"/>
        <item x="5"/>
        <item x="1"/>
        <item x="6"/>
        <item x="11"/>
        <item x="10"/>
        <item x="4"/>
        <item x="3"/>
        <item x="2"/>
      </items>
    </pivotField>
    <pivotField axis="axisRow" compact="0" outline="0" showAll="0" defaultSubtotal="0">
      <items count="8">
        <item x="5"/>
        <item x="4"/>
        <item x="3"/>
        <item x="6"/>
        <item x="7"/>
        <item x="0"/>
        <item x="2"/>
        <item x="1"/>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outline="0" showAll="0" defaultSubtotal="0">
      <items count="2">
        <item x="1"/>
        <item x="0"/>
      </items>
    </pivotField>
    <pivotField dataField="1" compact="0" outline="0" showAll="0" defaultSubtotal="0"/>
    <pivotField compact="0" outline="0" showAll="0" defaultSubtotal="0"/>
    <pivotField axis="axisRow" compact="0" outline="0" showAll="0" defaultSubtotal="0">
      <items count="2">
        <item x="1"/>
        <item x="0"/>
      </items>
    </pivotField>
    <pivotField compact="0" outline="0" showAll="0" defaultSubtotal="0"/>
  </pivotFields>
  <rowFields count="8">
    <field x="0"/>
    <field x="1"/>
    <field x="3"/>
    <field x="5"/>
    <field x="6"/>
    <field x="14"/>
    <field x="17"/>
    <field x="4"/>
  </rowFields>
  <rowItems count="12">
    <i>
      <x/>
      <x v="1"/>
      <x v="1"/>
      <x v="8"/>
      <x v="4"/>
      <x/>
      <x v="1"/>
      <x v="5"/>
    </i>
    <i>
      <x v="1"/>
      <x v="1"/>
      <x/>
      <x v="6"/>
      <x v="2"/>
      <x v="1"/>
      <x v="1"/>
      <x v="9"/>
    </i>
    <i>
      <x v="2"/>
      <x v="1"/>
      <x v="1"/>
      <x v="7"/>
      <x/>
      <x v="1"/>
      <x v="1"/>
      <x/>
    </i>
    <i>
      <x v="3"/>
      <x v="1"/>
      <x v="1"/>
      <x v="9"/>
      <x v="7"/>
      <x/>
      <x/>
      <x v="9"/>
    </i>
    <i>
      <x v="4"/>
      <x v="1"/>
      <x/>
      <x v="11"/>
      <x v="7"/>
      <x/>
      <x/>
      <x v="2"/>
    </i>
    <i>
      <x v="5"/>
      <x/>
      <x v="1"/>
      <x/>
      <x v="5"/>
      <x v="1"/>
      <x v="1"/>
      <x v="6"/>
    </i>
    <i>
      <x v="6"/>
      <x/>
      <x v="1"/>
      <x v="10"/>
      <x v="6"/>
      <x v="1"/>
      <x/>
      <x v="1"/>
    </i>
    <i>
      <x v="7"/>
      <x/>
      <x/>
      <x v="4"/>
      <x v="7"/>
      <x v="1"/>
      <x v="1"/>
      <x v="7"/>
    </i>
    <i>
      <x v="8"/>
      <x v="1"/>
      <x/>
      <x v="2"/>
      <x/>
      <x v="1"/>
      <x v="1"/>
      <x v="4"/>
    </i>
    <i>
      <x v="9"/>
      <x/>
      <x/>
      <x v="1"/>
      <x v="1"/>
      <x/>
      <x v="1"/>
      <x v="8"/>
    </i>
    <i>
      <x v="10"/>
      <x v="1"/>
      <x v="1"/>
      <x v="5"/>
      <x v="7"/>
      <x v="1"/>
      <x v="1"/>
      <x v="3"/>
    </i>
    <i>
      <x v="11"/>
      <x v="2"/>
      <x/>
      <x v="3"/>
      <x v="3"/>
      <x v="1"/>
      <x v="1"/>
      <x v="9"/>
    </i>
  </rowItems>
  <colFields count="1">
    <field x="-2"/>
  </colFields>
  <colItems count="3">
    <i>
      <x/>
    </i>
    <i i="1">
      <x v="1"/>
    </i>
    <i i="2">
      <x v="2"/>
    </i>
  </colItems>
  <dataFields count="3">
    <dataField name="_Deal Size ($)" fld="7" baseField="17" baseItem="1" numFmtId="3"/>
    <dataField name="_Progress %" fld="13" baseField="17" baseItem="1" numFmtId="9"/>
    <dataField name="_Projected Revenue ($)" fld="15" baseField="17" baseItem="1" numFmtId="3"/>
  </dataFields>
  <formats count="141">
    <format dxfId="146">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145">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144">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143">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142">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141">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140">
      <pivotArea type="all" dataOnly="0" outline="0" fieldPosition="0"/>
    </format>
    <format dxfId="139">
      <pivotArea outline="0" collapsedLevelsAreSubtotals="1" fieldPosition="0"/>
    </format>
    <format dxfId="138">
      <pivotArea field="0" type="button" dataOnly="0" labelOnly="1" outline="0" axis="axisRow" fieldPosition="0"/>
    </format>
    <format dxfId="137">
      <pivotArea field="1" type="button" dataOnly="0" labelOnly="1" outline="0" axis="axisRow" fieldPosition="1"/>
    </format>
    <format dxfId="136">
      <pivotArea field="3" type="button" dataOnly="0" labelOnly="1" outline="0" axis="axisRow" fieldPosition="2"/>
    </format>
    <format dxfId="135">
      <pivotArea field="5" type="button" dataOnly="0" labelOnly="1" outline="0" axis="axisRow" fieldPosition="3"/>
    </format>
    <format dxfId="134">
      <pivotArea field="6" type="button" dataOnly="0" labelOnly="1" outline="0" axis="axisRow" fieldPosition="4"/>
    </format>
    <format dxfId="133">
      <pivotArea field="14" type="button" dataOnly="0" labelOnly="1" outline="0" axis="axisRow" fieldPosition="5"/>
    </format>
    <format dxfId="132">
      <pivotArea field="17" type="button" dataOnly="0" labelOnly="1" outline="0" axis="axisRow" fieldPosition="6"/>
    </format>
    <format dxfId="131">
      <pivotArea dataOnly="0" labelOnly="1" outline="0" fieldPosition="0">
        <references count="1">
          <reference field="0" count="0"/>
        </references>
      </pivotArea>
    </format>
    <format dxfId="130">
      <pivotArea dataOnly="0" labelOnly="1" outline="0" fieldPosition="0">
        <references count="2">
          <reference field="0" count="1" selected="0">
            <x v="0"/>
          </reference>
          <reference field="1" count="1">
            <x v="1"/>
          </reference>
        </references>
      </pivotArea>
    </format>
    <format dxfId="129">
      <pivotArea dataOnly="0" labelOnly="1" outline="0" fieldPosition="0">
        <references count="2">
          <reference field="0" count="1" selected="0">
            <x v="5"/>
          </reference>
          <reference field="1" count="1">
            <x v="0"/>
          </reference>
        </references>
      </pivotArea>
    </format>
    <format dxfId="128">
      <pivotArea dataOnly="0" labelOnly="1" outline="0" fieldPosition="0">
        <references count="2">
          <reference field="0" count="1" selected="0">
            <x v="8"/>
          </reference>
          <reference field="1" count="1">
            <x v="1"/>
          </reference>
        </references>
      </pivotArea>
    </format>
    <format dxfId="127">
      <pivotArea dataOnly="0" labelOnly="1" outline="0" fieldPosition="0">
        <references count="2">
          <reference field="0" count="1" selected="0">
            <x v="9"/>
          </reference>
          <reference field="1" count="1">
            <x v="0"/>
          </reference>
        </references>
      </pivotArea>
    </format>
    <format dxfId="126">
      <pivotArea dataOnly="0" labelOnly="1" outline="0" fieldPosition="0">
        <references count="2">
          <reference field="0" count="1" selected="0">
            <x v="10"/>
          </reference>
          <reference field="1" count="1">
            <x v="1"/>
          </reference>
        </references>
      </pivotArea>
    </format>
    <format dxfId="125">
      <pivotArea dataOnly="0" labelOnly="1" outline="0" fieldPosition="0">
        <references count="2">
          <reference field="0" count="1" selected="0">
            <x v="11"/>
          </reference>
          <reference field="1" count="1">
            <x v="2"/>
          </reference>
        </references>
      </pivotArea>
    </format>
    <format dxfId="124">
      <pivotArea dataOnly="0" labelOnly="1" outline="0" fieldPosition="0">
        <references count="3">
          <reference field="0" count="1" selected="0">
            <x v="0"/>
          </reference>
          <reference field="1" count="1" selected="0">
            <x v="1"/>
          </reference>
          <reference field="3" count="1">
            <x v="1"/>
          </reference>
        </references>
      </pivotArea>
    </format>
    <format dxfId="123">
      <pivotArea dataOnly="0" labelOnly="1" outline="0" fieldPosition="0">
        <references count="3">
          <reference field="0" count="1" selected="0">
            <x v="1"/>
          </reference>
          <reference field="1" count="1" selected="0">
            <x v="1"/>
          </reference>
          <reference field="3" count="1">
            <x v="0"/>
          </reference>
        </references>
      </pivotArea>
    </format>
    <format dxfId="122">
      <pivotArea dataOnly="0" labelOnly="1" outline="0" fieldPosition="0">
        <references count="3">
          <reference field="0" count="1" selected="0">
            <x v="2"/>
          </reference>
          <reference field="1" count="1" selected="0">
            <x v="1"/>
          </reference>
          <reference field="3" count="1">
            <x v="1"/>
          </reference>
        </references>
      </pivotArea>
    </format>
    <format dxfId="121">
      <pivotArea dataOnly="0" labelOnly="1" outline="0" fieldPosition="0">
        <references count="3">
          <reference field="0" count="1" selected="0">
            <x v="4"/>
          </reference>
          <reference field="1" count="1" selected="0">
            <x v="1"/>
          </reference>
          <reference field="3" count="1">
            <x v="0"/>
          </reference>
        </references>
      </pivotArea>
    </format>
    <format dxfId="120">
      <pivotArea dataOnly="0" labelOnly="1" outline="0" fieldPosition="0">
        <references count="3">
          <reference field="0" count="1" selected="0">
            <x v="5"/>
          </reference>
          <reference field="1" count="1" selected="0">
            <x v="0"/>
          </reference>
          <reference field="3" count="1">
            <x v="1"/>
          </reference>
        </references>
      </pivotArea>
    </format>
    <format dxfId="119">
      <pivotArea dataOnly="0" labelOnly="1" outline="0" fieldPosition="0">
        <references count="3">
          <reference field="0" count="1" selected="0">
            <x v="7"/>
          </reference>
          <reference field="1" count="1" selected="0">
            <x v="0"/>
          </reference>
          <reference field="3" count="1">
            <x v="0"/>
          </reference>
        </references>
      </pivotArea>
    </format>
    <format dxfId="118">
      <pivotArea dataOnly="0" labelOnly="1" outline="0" fieldPosition="0">
        <references count="3">
          <reference field="0" count="1" selected="0">
            <x v="10"/>
          </reference>
          <reference field="1" count="1" selected="0">
            <x v="1"/>
          </reference>
          <reference field="3" count="1">
            <x v="1"/>
          </reference>
        </references>
      </pivotArea>
    </format>
    <format dxfId="117">
      <pivotArea dataOnly="0" labelOnly="1" outline="0" fieldPosition="0">
        <references count="3">
          <reference field="0" count="1" selected="0">
            <x v="11"/>
          </reference>
          <reference field="1" count="1" selected="0">
            <x v="2"/>
          </reference>
          <reference field="3" count="1">
            <x v="0"/>
          </reference>
        </references>
      </pivotArea>
    </format>
    <format dxfId="116">
      <pivotArea dataOnly="0" labelOnly="1" outline="0" fieldPosition="0">
        <references count="4">
          <reference field="0" count="1" selected="0">
            <x v="0"/>
          </reference>
          <reference field="1" count="1" selected="0">
            <x v="1"/>
          </reference>
          <reference field="3" count="1" selected="0">
            <x v="1"/>
          </reference>
          <reference field="5" count="1">
            <x v="8"/>
          </reference>
        </references>
      </pivotArea>
    </format>
    <format dxfId="115">
      <pivotArea dataOnly="0" labelOnly="1" outline="0" fieldPosition="0">
        <references count="4">
          <reference field="0" count="1" selected="0">
            <x v="1"/>
          </reference>
          <reference field="1" count="1" selected="0">
            <x v="1"/>
          </reference>
          <reference field="3" count="1" selected="0">
            <x v="0"/>
          </reference>
          <reference field="5" count="1">
            <x v="6"/>
          </reference>
        </references>
      </pivotArea>
    </format>
    <format dxfId="114">
      <pivotArea dataOnly="0" labelOnly="1" outline="0" fieldPosition="0">
        <references count="4">
          <reference field="0" count="1" selected="0">
            <x v="2"/>
          </reference>
          <reference field="1" count="1" selected="0">
            <x v="1"/>
          </reference>
          <reference field="3" count="1" selected="0">
            <x v="1"/>
          </reference>
          <reference field="5" count="1">
            <x v="7"/>
          </reference>
        </references>
      </pivotArea>
    </format>
    <format dxfId="113">
      <pivotArea dataOnly="0" labelOnly="1" outline="0" fieldPosition="0">
        <references count="4">
          <reference field="0" count="1" selected="0">
            <x v="3"/>
          </reference>
          <reference field="1" count="1" selected="0">
            <x v="1"/>
          </reference>
          <reference field="3" count="1" selected="0">
            <x v="1"/>
          </reference>
          <reference field="5" count="1">
            <x v="9"/>
          </reference>
        </references>
      </pivotArea>
    </format>
    <format dxfId="112">
      <pivotArea dataOnly="0" labelOnly="1" outline="0" fieldPosition="0">
        <references count="4">
          <reference field="0" count="1" selected="0">
            <x v="4"/>
          </reference>
          <reference field="1" count="1" selected="0">
            <x v="1"/>
          </reference>
          <reference field="3" count="1" selected="0">
            <x v="0"/>
          </reference>
          <reference field="5" count="1">
            <x v="11"/>
          </reference>
        </references>
      </pivotArea>
    </format>
    <format dxfId="111">
      <pivotArea dataOnly="0" labelOnly="1" outline="0" fieldPosition="0">
        <references count="4">
          <reference field="0" count="1" selected="0">
            <x v="5"/>
          </reference>
          <reference field="1" count="1" selected="0">
            <x v="0"/>
          </reference>
          <reference field="3" count="1" selected="0">
            <x v="1"/>
          </reference>
          <reference field="5" count="1">
            <x v="0"/>
          </reference>
        </references>
      </pivotArea>
    </format>
    <format dxfId="110">
      <pivotArea dataOnly="0" labelOnly="1" outline="0" fieldPosition="0">
        <references count="4">
          <reference field="0" count="1" selected="0">
            <x v="6"/>
          </reference>
          <reference field="1" count="1" selected="0">
            <x v="0"/>
          </reference>
          <reference field="3" count="1" selected="0">
            <x v="1"/>
          </reference>
          <reference field="5" count="1">
            <x v="10"/>
          </reference>
        </references>
      </pivotArea>
    </format>
    <format dxfId="109">
      <pivotArea dataOnly="0" labelOnly="1" outline="0" fieldPosition="0">
        <references count="4">
          <reference field="0" count="1" selected="0">
            <x v="7"/>
          </reference>
          <reference field="1" count="1" selected="0">
            <x v="0"/>
          </reference>
          <reference field="3" count="1" selected="0">
            <x v="0"/>
          </reference>
          <reference field="5" count="1">
            <x v="4"/>
          </reference>
        </references>
      </pivotArea>
    </format>
    <format dxfId="108">
      <pivotArea dataOnly="0" labelOnly="1" outline="0" fieldPosition="0">
        <references count="4">
          <reference field="0" count="1" selected="0">
            <x v="8"/>
          </reference>
          <reference field="1" count="1" selected="0">
            <x v="1"/>
          </reference>
          <reference field="3" count="1" selected="0">
            <x v="0"/>
          </reference>
          <reference field="5" count="1">
            <x v="2"/>
          </reference>
        </references>
      </pivotArea>
    </format>
    <format dxfId="107">
      <pivotArea dataOnly="0" labelOnly="1" outline="0" fieldPosition="0">
        <references count="4">
          <reference field="0" count="1" selected="0">
            <x v="9"/>
          </reference>
          <reference field="1" count="1" selected="0">
            <x v="0"/>
          </reference>
          <reference field="3" count="1" selected="0">
            <x v="0"/>
          </reference>
          <reference field="5" count="1">
            <x v="1"/>
          </reference>
        </references>
      </pivotArea>
    </format>
    <format dxfId="106">
      <pivotArea dataOnly="0" labelOnly="1" outline="0" fieldPosition="0">
        <references count="4">
          <reference field="0" count="1" selected="0">
            <x v="10"/>
          </reference>
          <reference field="1" count="1" selected="0">
            <x v="1"/>
          </reference>
          <reference field="3" count="1" selected="0">
            <x v="1"/>
          </reference>
          <reference field="5" count="1">
            <x v="5"/>
          </reference>
        </references>
      </pivotArea>
    </format>
    <format dxfId="105">
      <pivotArea dataOnly="0" labelOnly="1" outline="0" fieldPosition="0">
        <references count="4">
          <reference field="0" count="1" selected="0">
            <x v="11"/>
          </reference>
          <reference field="1" count="1" selected="0">
            <x v="2"/>
          </reference>
          <reference field="3" count="1" selected="0">
            <x v="0"/>
          </reference>
          <reference field="5" count="1">
            <x v="3"/>
          </reference>
        </references>
      </pivotArea>
    </format>
    <format dxfId="104">
      <pivotArea dataOnly="0" labelOnly="1" outline="0" fieldPosition="0">
        <references count="5">
          <reference field="0" count="1" selected="0">
            <x v="0"/>
          </reference>
          <reference field="1" count="1" selected="0">
            <x v="1"/>
          </reference>
          <reference field="3" count="1" selected="0">
            <x v="1"/>
          </reference>
          <reference field="5" count="1" selected="0">
            <x v="8"/>
          </reference>
          <reference field="6" count="1">
            <x v="4"/>
          </reference>
        </references>
      </pivotArea>
    </format>
    <format dxfId="103">
      <pivotArea dataOnly="0" labelOnly="1" outline="0" fieldPosition="0">
        <references count="5">
          <reference field="0" count="1" selected="0">
            <x v="1"/>
          </reference>
          <reference field="1" count="1" selected="0">
            <x v="1"/>
          </reference>
          <reference field="3" count="1" selected="0">
            <x v="0"/>
          </reference>
          <reference field="5" count="1" selected="0">
            <x v="6"/>
          </reference>
          <reference field="6" count="1">
            <x v="2"/>
          </reference>
        </references>
      </pivotArea>
    </format>
    <format dxfId="102">
      <pivotArea dataOnly="0" labelOnly="1" outline="0" fieldPosition="0">
        <references count="5">
          <reference field="0" count="1" selected="0">
            <x v="2"/>
          </reference>
          <reference field="1" count="1" selected="0">
            <x v="1"/>
          </reference>
          <reference field="3" count="1" selected="0">
            <x v="1"/>
          </reference>
          <reference field="5" count="1" selected="0">
            <x v="7"/>
          </reference>
          <reference field="6" count="1">
            <x v="0"/>
          </reference>
        </references>
      </pivotArea>
    </format>
    <format dxfId="101">
      <pivotArea dataOnly="0" labelOnly="1" outline="0" fieldPosition="0">
        <references count="5">
          <reference field="0" count="1" selected="0">
            <x v="3"/>
          </reference>
          <reference field="1" count="1" selected="0">
            <x v="1"/>
          </reference>
          <reference field="3" count="1" selected="0">
            <x v="1"/>
          </reference>
          <reference field="5" count="1" selected="0">
            <x v="9"/>
          </reference>
          <reference field="6" count="1">
            <x v="7"/>
          </reference>
        </references>
      </pivotArea>
    </format>
    <format dxfId="100">
      <pivotArea dataOnly="0" labelOnly="1" outline="0" fieldPosition="0">
        <references count="5">
          <reference field="0" count="1" selected="0">
            <x v="5"/>
          </reference>
          <reference field="1" count="1" selected="0">
            <x v="0"/>
          </reference>
          <reference field="3" count="1" selected="0">
            <x v="1"/>
          </reference>
          <reference field="5" count="1" selected="0">
            <x v="0"/>
          </reference>
          <reference field="6" count="1">
            <x v="5"/>
          </reference>
        </references>
      </pivotArea>
    </format>
    <format dxfId="99">
      <pivotArea dataOnly="0" labelOnly="1" outline="0" fieldPosition="0">
        <references count="5">
          <reference field="0" count="1" selected="0">
            <x v="6"/>
          </reference>
          <reference field="1" count="1" selected="0">
            <x v="0"/>
          </reference>
          <reference field="3" count="1" selected="0">
            <x v="1"/>
          </reference>
          <reference field="5" count="1" selected="0">
            <x v="10"/>
          </reference>
          <reference field="6" count="1">
            <x v="6"/>
          </reference>
        </references>
      </pivotArea>
    </format>
    <format dxfId="98">
      <pivotArea dataOnly="0" labelOnly="1" outline="0" fieldPosition="0">
        <references count="5">
          <reference field="0" count="1" selected="0">
            <x v="7"/>
          </reference>
          <reference field="1" count="1" selected="0">
            <x v="0"/>
          </reference>
          <reference field="3" count="1" selected="0">
            <x v="0"/>
          </reference>
          <reference field="5" count="1" selected="0">
            <x v="4"/>
          </reference>
          <reference field="6" count="1">
            <x v="7"/>
          </reference>
        </references>
      </pivotArea>
    </format>
    <format dxfId="97">
      <pivotArea dataOnly="0" labelOnly="1" outline="0" fieldPosition="0">
        <references count="5">
          <reference field="0" count="1" selected="0">
            <x v="8"/>
          </reference>
          <reference field="1" count="1" selected="0">
            <x v="1"/>
          </reference>
          <reference field="3" count="1" selected="0">
            <x v="0"/>
          </reference>
          <reference field="5" count="1" selected="0">
            <x v="2"/>
          </reference>
          <reference field="6" count="1">
            <x v="0"/>
          </reference>
        </references>
      </pivotArea>
    </format>
    <format dxfId="96">
      <pivotArea dataOnly="0" labelOnly="1" outline="0" fieldPosition="0">
        <references count="5">
          <reference field="0" count="1" selected="0">
            <x v="9"/>
          </reference>
          <reference field="1" count="1" selected="0">
            <x v="0"/>
          </reference>
          <reference field="3" count="1" selected="0">
            <x v="0"/>
          </reference>
          <reference field="5" count="1" selected="0">
            <x v="1"/>
          </reference>
          <reference field="6" count="1">
            <x v="1"/>
          </reference>
        </references>
      </pivotArea>
    </format>
    <format dxfId="95">
      <pivotArea dataOnly="0" labelOnly="1" outline="0" fieldPosition="0">
        <references count="5">
          <reference field="0" count="1" selected="0">
            <x v="10"/>
          </reference>
          <reference field="1" count="1" selected="0">
            <x v="1"/>
          </reference>
          <reference field="3" count="1" selected="0">
            <x v="1"/>
          </reference>
          <reference field="5" count="1" selected="0">
            <x v="5"/>
          </reference>
          <reference field="6" count="1">
            <x v="7"/>
          </reference>
        </references>
      </pivotArea>
    </format>
    <format dxfId="94">
      <pivotArea dataOnly="0" labelOnly="1" outline="0" fieldPosition="0">
        <references count="5">
          <reference field="0" count="1" selected="0">
            <x v="11"/>
          </reference>
          <reference field="1" count="1" selected="0">
            <x v="2"/>
          </reference>
          <reference field="3" count="1" selected="0">
            <x v="0"/>
          </reference>
          <reference field="5" count="1" selected="0">
            <x v="3"/>
          </reference>
          <reference field="6" count="1">
            <x v="3"/>
          </reference>
        </references>
      </pivotArea>
    </format>
    <format dxfId="93">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92">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91">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90">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89">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88">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87">
      <pivotArea dataOnly="0" labelOnly="1" outline="0" fieldPosition="0">
        <references count="7">
          <reference field="0" count="1" selected="0">
            <x v="0"/>
          </reference>
          <reference field="1" count="1" selected="0">
            <x v="1"/>
          </reference>
          <reference field="3" count="1" selected="0">
            <x v="1"/>
          </reference>
          <reference field="5" count="1" selected="0">
            <x v="8"/>
          </reference>
          <reference field="6" count="1" selected="0">
            <x v="4"/>
          </reference>
          <reference field="14" count="1" selected="0">
            <x v="0"/>
          </reference>
          <reference field="17" count="1">
            <x v="1"/>
          </reference>
        </references>
      </pivotArea>
    </format>
    <format dxfId="86">
      <pivotArea dataOnly="0" labelOnly="1" outline="0" fieldPosition="0">
        <references count="7">
          <reference field="0" count="1" selected="0">
            <x v="1"/>
          </reference>
          <reference field="1" count="1" selected="0">
            <x v="1"/>
          </reference>
          <reference field="3" count="1" selected="0">
            <x v="0"/>
          </reference>
          <reference field="5" count="1" selected="0">
            <x v="6"/>
          </reference>
          <reference field="6" count="1" selected="0">
            <x v="2"/>
          </reference>
          <reference field="14" count="1" selected="0">
            <x v="1"/>
          </reference>
          <reference field="17" count="1">
            <x v="1"/>
          </reference>
        </references>
      </pivotArea>
    </format>
    <format dxfId="85">
      <pivotArea dataOnly="0" labelOnly="1" outline="0" fieldPosition="0">
        <references count="7">
          <reference field="0" count="1" selected="0">
            <x v="2"/>
          </reference>
          <reference field="1" count="1" selected="0">
            <x v="1"/>
          </reference>
          <reference field="3" count="1" selected="0">
            <x v="1"/>
          </reference>
          <reference field="5" count="1" selected="0">
            <x v="7"/>
          </reference>
          <reference field="6" count="1" selected="0">
            <x v="0"/>
          </reference>
          <reference field="14" count="1" selected="0">
            <x v="1"/>
          </reference>
          <reference field="17" count="1">
            <x v="1"/>
          </reference>
        </references>
      </pivotArea>
    </format>
    <format dxfId="84">
      <pivotArea dataOnly="0" labelOnly="1" outline="0" fieldPosition="0">
        <references count="7">
          <reference field="0" count="1" selected="0">
            <x v="3"/>
          </reference>
          <reference field="1" count="1" selected="0">
            <x v="1"/>
          </reference>
          <reference field="3" count="1" selected="0">
            <x v="1"/>
          </reference>
          <reference field="5" count="1" selected="0">
            <x v="9"/>
          </reference>
          <reference field="6" count="1" selected="0">
            <x v="7"/>
          </reference>
          <reference field="14" count="1" selected="0">
            <x v="0"/>
          </reference>
          <reference field="17" count="1">
            <x v="0"/>
          </reference>
        </references>
      </pivotArea>
    </format>
    <format dxfId="83">
      <pivotArea dataOnly="0" labelOnly="1" outline="0" fieldPosition="0">
        <references count="7">
          <reference field="0" count="1" selected="0">
            <x v="4"/>
          </reference>
          <reference field="1" count="1" selected="0">
            <x v="1"/>
          </reference>
          <reference field="3" count="1" selected="0">
            <x v="0"/>
          </reference>
          <reference field="5" count="1" selected="0">
            <x v="11"/>
          </reference>
          <reference field="6" count="1" selected="0">
            <x v="7"/>
          </reference>
          <reference field="14" count="1" selected="0">
            <x v="0"/>
          </reference>
          <reference field="17" count="1">
            <x v="0"/>
          </reference>
        </references>
      </pivotArea>
    </format>
    <format dxfId="82">
      <pivotArea dataOnly="0" labelOnly="1" outline="0" fieldPosition="0">
        <references count="7">
          <reference field="0" count="1" selected="0">
            <x v="5"/>
          </reference>
          <reference field="1" count="1" selected="0">
            <x v="0"/>
          </reference>
          <reference field="3" count="1" selected="0">
            <x v="1"/>
          </reference>
          <reference field="5" count="1" selected="0">
            <x v="0"/>
          </reference>
          <reference field="6" count="1" selected="0">
            <x v="5"/>
          </reference>
          <reference field="14" count="1" selected="0">
            <x v="1"/>
          </reference>
          <reference field="17" count="1">
            <x v="1"/>
          </reference>
        </references>
      </pivotArea>
    </format>
    <format dxfId="81">
      <pivotArea dataOnly="0" labelOnly="1" outline="0" fieldPosition="0">
        <references count="7">
          <reference field="0" count="1" selected="0">
            <x v="6"/>
          </reference>
          <reference field="1" count="1" selected="0">
            <x v="0"/>
          </reference>
          <reference field="3" count="1" selected="0">
            <x v="1"/>
          </reference>
          <reference field="5" count="1" selected="0">
            <x v="10"/>
          </reference>
          <reference field="6" count="1" selected="0">
            <x v="6"/>
          </reference>
          <reference field="14" count="1" selected="0">
            <x v="1"/>
          </reference>
          <reference field="17" count="1">
            <x v="0"/>
          </reference>
        </references>
      </pivotArea>
    </format>
    <format dxfId="80">
      <pivotArea dataOnly="0" labelOnly="1" outline="0" fieldPosition="0">
        <references count="7">
          <reference field="0" count="1" selected="0">
            <x v="7"/>
          </reference>
          <reference field="1" count="1" selected="0">
            <x v="0"/>
          </reference>
          <reference field="3" count="1" selected="0">
            <x v="0"/>
          </reference>
          <reference field="5" count="1" selected="0">
            <x v="4"/>
          </reference>
          <reference field="6" count="1" selected="0">
            <x v="7"/>
          </reference>
          <reference field="14" count="1" selected="0">
            <x v="1"/>
          </reference>
          <reference field="17" count="1">
            <x v="1"/>
          </reference>
        </references>
      </pivotArea>
    </format>
    <format dxfId="79">
      <pivotArea dataOnly="0" labelOnly="1" outline="0" fieldPosition="0">
        <references count="7">
          <reference field="0" count="1" selected="0">
            <x v="8"/>
          </reference>
          <reference field="1" count="1" selected="0">
            <x v="1"/>
          </reference>
          <reference field="3" count="1" selected="0">
            <x v="0"/>
          </reference>
          <reference field="5" count="1" selected="0">
            <x v="2"/>
          </reference>
          <reference field="6" count="1" selected="0">
            <x v="0"/>
          </reference>
          <reference field="14" count="1" selected="0">
            <x v="1"/>
          </reference>
          <reference field="17" count="1">
            <x v="1"/>
          </reference>
        </references>
      </pivotArea>
    </format>
    <format dxfId="78">
      <pivotArea dataOnly="0" labelOnly="1" outline="0" fieldPosition="0">
        <references count="7">
          <reference field="0" count="1" selected="0">
            <x v="9"/>
          </reference>
          <reference field="1" count="1" selected="0">
            <x v="0"/>
          </reference>
          <reference field="3" count="1" selected="0">
            <x v="0"/>
          </reference>
          <reference field="5" count="1" selected="0">
            <x v="1"/>
          </reference>
          <reference field="6" count="1" selected="0">
            <x v="1"/>
          </reference>
          <reference field="14" count="1" selected="0">
            <x v="0"/>
          </reference>
          <reference field="17" count="1">
            <x v="1"/>
          </reference>
        </references>
      </pivotArea>
    </format>
    <format dxfId="77">
      <pivotArea dataOnly="0" labelOnly="1" outline="0" fieldPosition="0">
        <references count="7">
          <reference field="0" count="1" selected="0">
            <x v="10"/>
          </reference>
          <reference field="1" count="1" selected="0">
            <x v="1"/>
          </reference>
          <reference field="3" count="1" selected="0">
            <x v="1"/>
          </reference>
          <reference field="5" count="1" selected="0">
            <x v="5"/>
          </reference>
          <reference field="6" count="1" selected="0">
            <x v="7"/>
          </reference>
          <reference field="14" count="1" selected="0">
            <x v="1"/>
          </reference>
          <reference field="17" count="1">
            <x v="1"/>
          </reference>
        </references>
      </pivotArea>
    </format>
    <format dxfId="76">
      <pivotArea dataOnly="0" labelOnly="1" outline="0" fieldPosition="0">
        <references count="7">
          <reference field="0" count="1" selected="0">
            <x v="11"/>
          </reference>
          <reference field="1" count="1" selected="0">
            <x v="2"/>
          </reference>
          <reference field="3" count="1" selected="0">
            <x v="0"/>
          </reference>
          <reference field="5" count="1" selected="0">
            <x v="3"/>
          </reference>
          <reference field="6" count="1" selected="0">
            <x v="3"/>
          </reference>
          <reference field="14" count="1" selected="0">
            <x v="1"/>
          </reference>
          <reference field="17" count="1">
            <x v="1"/>
          </reference>
        </references>
      </pivotArea>
    </format>
    <format dxfId="75">
      <pivotArea dataOnly="0" labelOnly="1" outline="0" fieldPosition="0">
        <references count="1">
          <reference field="4294967294" count="3">
            <x v="0"/>
            <x v="1"/>
            <x v="2"/>
          </reference>
        </references>
      </pivotArea>
    </format>
    <format dxfId="74">
      <pivotArea type="all" dataOnly="0" outline="0" fieldPosition="0"/>
    </format>
    <format dxfId="73">
      <pivotArea field="0" type="button" dataOnly="0" labelOnly="1" outline="0" axis="axisRow" fieldPosition="0"/>
    </format>
    <format dxfId="72">
      <pivotArea field="3" type="button" dataOnly="0" labelOnly="1" outline="0" axis="axisRow" fieldPosition="2"/>
    </format>
    <format dxfId="71">
      <pivotArea field="5" type="button" dataOnly="0" labelOnly="1" outline="0" axis="axisRow" fieldPosition="3"/>
    </format>
    <format dxfId="70">
      <pivotArea field="6" type="button" dataOnly="0" labelOnly="1" outline="0" axis="axisRow" fieldPosition="4"/>
    </format>
    <format dxfId="69">
      <pivotArea field="14" type="button" dataOnly="0" labelOnly="1" outline="0" axis="axisRow" fieldPosition="5"/>
    </format>
    <format dxfId="68">
      <pivotArea field="17" type="button" dataOnly="0" labelOnly="1" outline="0" axis="axisRow" fieldPosition="6"/>
    </format>
    <format dxfId="67">
      <pivotArea dataOnly="0" labelOnly="1" outline="0" fieldPosition="0">
        <references count="1">
          <reference field="0" count="0"/>
        </references>
      </pivotArea>
    </format>
    <format dxfId="66">
      <pivotArea dataOnly="0" labelOnly="1" outline="0" fieldPosition="0">
        <references count="3">
          <reference field="0" count="1" selected="0">
            <x v="0"/>
          </reference>
          <reference field="1" count="1" selected="0">
            <x v="1"/>
          </reference>
          <reference field="3" count="1">
            <x v="1"/>
          </reference>
        </references>
      </pivotArea>
    </format>
    <format dxfId="65">
      <pivotArea dataOnly="0" labelOnly="1" outline="0" fieldPosition="0">
        <references count="3">
          <reference field="0" count="1" selected="0">
            <x v="1"/>
          </reference>
          <reference field="1" count="1" selected="0">
            <x v="1"/>
          </reference>
          <reference field="3" count="1">
            <x v="0"/>
          </reference>
        </references>
      </pivotArea>
    </format>
    <format dxfId="64">
      <pivotArea dataOnly="0" labelOnly="1" outline="0" fieldPosition="0">
        <references count="3">
          <reference field="0" count="1" selected="0">
            <x v="2"/>
          </reference>
          <reference field="1" count="1" selected="0">
            <x v="1"/>
          </reference>
          <reference field="3" count="1">
            <x v="1"/>
          </reference>
        </references>
      </pivotArea>
    </format>
    <format dxfId="63">
      <pivotArea dataOnly="0" labelOnly="1" outline="0" fieldPosition="0">
        <references count="3">
          <reference field="0" count="1" selected="0">
            <x v="4"/>
          </reference>
          <reference field="1" count="1" selected="0">
            <x v="1"/>
          </reference>
          <reference field="3" count="1">
            <x v="0"/>
          </reference>
        </references>
      </pivotArea>
    </format>
    <format dxfId="62">
      <pivotArea dataOnly="0" labelOnly="1" outline="0" fieldPosition="0">
        <references count="3">
          <reference field="0" count="1" selected="0">
            <x v="5"/>
          </reference>
          <reference field="1" count="1" selected="0">
            <x v="0"/>
          </reference>
          <reference field="3" count="1">
            <x v="1"/>
          </reference>
        </references>
      </pivotArea>
    </format>
    <format dxfId="61">
      <pivotArea dataOnly="0" labelOnly="1" outline="0" fieldPosition="0">
        <references count="3">
          <reference field="0" count="1" selected="0">
            <x v="7"/>
          </reference>
          <reference field="1" count="1" selected="0">
            <x v="0"/>
          </reference>
          <reference field="3" count="1">
            <x v="0"/>
          </reference>
        </references>
      </pivotArea>
    </format>
    <format dxfId="60">
      <pivotArea dataOnly="0" labelOnly="1" outline="0" fieldPosition="0">
        <references count="3">
          <reference field="0" count="1" selected="0">
            <x v="10"/>
          </reference>
          <reference field="1" count="1" selected="0">
            <x v="1"/>
          </reference>
          <reference field="3" count="1">
            <x v="1"/>
          </reference>
        </references>
      </pivotArea>
    </format>
    <format dxfId="59">
      <pivotArea dataOnly="0" labelOnly="1" outline="0" fieldPosition="0">
        <references count="3">
          <reference field="0" count="1" selected="0">
            <x v="11"/>
          </reference>
          <reference field="1" count="1" selected="0">
            <x v="2"/>
          </reference>
          <reference field="3" count="1">
            <x v="0"/>
          </reference>
        </references>
      </pivotArea>
    </format>
    <format dxfId="58">
      <pivotArea dataOnly="0" labelOnly="1" outline="0" fieldPosition="0">
        <references count="4">
          <reference field="0" count="1" selected="0">
            <x v="0"/>
          </reference>
          <reference field="1" count="1" selected="0">
            <x v="1"/>
          </reference>
          <reference field="3" count="1" selected="0">
            <x v="1"/>
          </reference>
          <reference field="5" count="1">
            <x v="8"/>
          </reference>
        </references>
      </pivotArea>
    </format>
    <format dxfId="57">
      <pivotArea dataOnly="0" labelOnly="1" outline="0" fieldPosition="0">
        <references count="4">
          <reference field="0" count="1" selected="0">
            <x v="1"/>
          </reference>
          <reference field="1" count="1" selected="0">
            <x v="1"/>
          </reference>
          <reference field="3" count="1" selected="0">
            <x v="0"/>
          </reference>
          <reference field="5" count="1">
            <x v="6"/>
          </reference>
        </references>
      </pivotArea>
    </format>
    <format dxfId="56">
      <pivotArea dataOnly="0" labelOnly="1" outline="0" fieldPosition="0">
        <references count="4">
          <reference field="0" count="1" selected="0">
            <x v="2"/>
          </reference>
          <reference field="1" count="1" selected="0">
            <x v="1"/>
          </reference>
          <reference field="3" count="1" selected="0">
            <x v="1"/>
          </reference>
          <reference field="5" count="1">
            <x v="7"/>
          </reference>
        </references>
      </pivotArea>
    </format>
    <format dxfId="55">
      <pivotArea dataOnly="0" labelOnly="1" outline="0" fieldPosition="0">
        <references count="4">
          <reference field="0" count="1" selected="0">
            <x v="3"/>
          </reference>
          <reference field="1" count="1" selected="0">
            <x v="1"/>
          </reference>
          <reference field="3" count="1" selected="0">
            <x v="1"/>
          </reference>
          <reference field="5" count="1">
            <x v="9"/>
          </reference>
        </references>
      </pivotArea>
    </format>
    <format dxfId="54">
      <pivotArea dataOnly="0" labelOnly="1" outline="0" fieldPosition="0">
        <references count="4">
          <reference field="0" count="1" selected="0">
            <x v="4"/>
          </reference>
          <reference field="1" count="1" selected="0">
            <x v="1"/>
          </reference>
          <reference field="3" count="1" selected="0">
            <x v="0"/>
          </reference>
          <reference field="5" count="1">
            <x v="11"/>
          </reference>
        </references>
      </pivotArea>
    </format>
    <format dxfId="53">
      <pivotArea dataOnly="0" labelOnly="1" outline="0" fieldPosition="0">
        <references count="4">
          <reference field="0" count="1" selected="0">
            <x v="5"/>
          </reference>
          <reference field="1" count="1" selected="0">
            <x v="0"/>
          </reference>
          <reference field="3" count="1" selected="0">
            <x v="1"/>
          </reference>
          <reference field="5" count="1">
            <x v="0"/>
          </reference>
        </references>
      </pivotArea>
    </format>
    <format dxfId="52">
      <pivotArea dataOnly="0" labelOnly="1" outline="0" fieldPosition="0">
        <references count="4">
          <reference field="0" count="1" selected="0">
            <x v="6"/>
          </reference>
          <reference field="1" count="1" selected="0">
            <x v="0"/>
          </reference>
          <reference field="3" count="1" selected="0">
            <x v="1"/>
          </reference>
          <reference field="5" count="1">
            <x v="10"/>
          </reference>
        </references>
      </pivotArea>
    </format>
    <format dxfId="51">
      <pivotArea dataOnly="0" labelOnly="1" outline="0" fieldPosition="0">
        <references count="4">
          <reference field="0" count="1" selected="0">
            <x v="7"/>
          </reference>
          <reference field="1" count="1" selected="0">
            <x v="0"/>
          </reference>
          <reference field="3" count="1" selected="0">
            <x v="0"/>
          </reference>
          <reference field="5" count="1">
            <x v="4"/>
          </reference>
        </references>
      </pivotArea>
    </format>
    <format dxfId="50">
      <pivotArea dataOnly="0" labelOnly="1" outline="0" fieldPosition="0">
        <references count="4">
          <reference field="0" count="1" selected="0">
            <x v="8"/>
          </reference>
          <reference field="1" count="1" selected="0">
            <x v="1"/>
          </reference>
          <reference field="3" count="1" selected="0">
            <x v="0"/>
          </reference>
          <reference field="5" count="1">
            <x v="2"/>
          </reference>
        </references>
      </pivotArea>
    </format>
    <format dxfId="49">
      <pivotArea dataOnly="0" labelOnly="1" outline="0" fieldPosition="0">
        <references count="4">
          <reference field="0" count="1" selected="0">
            <x v="9"/>
          </reference>
          <reference field="1" count="1" selected="0">
            <x v="0"/>
          </reference>
          <reference field="3" count="1" selected="0">
            <x v="0"/>
          </reference>
          <reference field="5" count="1">
            <x v="1"/>
          </reference>
        </references>
      </pivotArea>
    </format>
    <format dxfId="48">
      <pivotArea dataOnly="0" labelOnly="1" outline="0" fieldPosition="0">
        <references count="4">
          <reference field="0" count="1" selected="0">
            <x v="10"/>
          </reference>
          <reference field="1" count="1" selected="0">
            <x v="1"/>
          </reference>
          <reference field="3" count="1" selected="0">
            <x v="1"/>
          </reference>
          <reference field="5" count="1">
            <x v="5"/>
          </reference>
        </references>
      </pivotArea>
    </format>
    <format dxfId="47">
      <pivotArea dataOnly="0" labelOnly="1" outline="0" fieldPosition="0">
        <references count="4">
          <reference field="0" count="1" selected="0">
            <x v="11"/>
          </reference>
          <reference field="1" count="1" selected="0">
            <x v="2"/>
          </reference>
          <reference field="3" count="1" selected="0">
            <x v="0"/>
          </reference>
          <reference field="5" count="1">
            <x v="3"/>
          </reference>
        </references>
      </pivotArea>
    </format>
    <format dxfId="46">
      <pivotArea dataOnly="0" labelOnly="1" outline="0" fieldPosition="0">
        <references count="5">
          <reference field="0" count="1" selected="0">
            <x v="0"/>
          </reference>
          <reference field="1" count="1" selected="0">
            <x v="1"/>
          </reference>
          <reference field="3" count="1" selected="0">
            <x v="1"/>
          </reference>
          <reference field="5" count="1" selected="0">
            <x v="8"/>
          </reference>
          <reference field="6" count="1">
            <x v="4"/>
          </reference>
        </references>
      </pivotArea>
    </format>
    <format dxfId="45">
      <pivotArea dataOnly="0" labelOnly="1" outline="0" fieldPosition="0">
        <references count="5">
          <reference field="0" count="1" selected="0">
            <x v="1"/>
          </reference>
          <reference field="1" count="1" selected="0">
            <x v="1"/>
          </reference>
          <reference field="3" count="1" selected="0">
            <x v="0"/>
          </reference>
          <reference field="5" count="1" selected="0">
            <x v="6"/>
          </reference>
          <reference field="6" count="1">
            <x v="2"/>
          </reference>
        </references>
      </pivotArea>
    </format>
    <format dxfId="44">
      <pivotArea dataOnly="0" labelOnly="1" outline="0" fieldPosition="0">
        <references count="5">
          <reference field="0" count="1" selected="0">
            <x v="2"/>
          </reference>
          <reference field="1" count="1" selected="0">
            <x v="1"/>
          </reference>
          <reference field="3" count="1" selected="0">
            <x v="1"/>
          </reference>
          <reference field="5" count="1" selected="0">
            <x v="7"/>
          </reference>
          <reference field="6" count="1">
            <x v="0"/>
          </reference>
        </references>
      </pivotArea>
    </format>
    <format dxfId="43">
      <pivotArea dataOnly="0" labelOnly="1" outline="0" fieldPosition="0">
        <references count="5">
          <reference field="0" count="1" selected="0">
            <x v="3"/>
          </reference>
          <reference field="1" count="1" selected="0">
            <x v="1"/>
          </reference>
          <reference field="3" count="1" selected="0">
            <x v="1"/>
          </reference>
          <reference field="5" count="1" selected="0">
            <x v="9"/>
          </reference>
          <reference field="6" count="1">
            <x v="7"/>
          </reference>
        </references>
      </pivotArea>
    </format>
    <format dxfId="42">
      <pivotArea dataOnly="0" labelOnly="1" outline="0" fieldPosition="0">
        <references count="5">
          <reference field="0" count="1" selected="0">
            <x v="5"/>
          </reference>
          <reference field="1" count="1" selected="0">
            <x v="0"/>
          </reference>
          <reference field="3" count="1" selected="0">
            <x v="1"/>
          </reference>
          <reference field="5" count="1" selected="0">
            <x v="0"/>
          </reference>
          <reference field="6" count="1">
            <x v="5"/>
          </reference>
        </references>
      </pivotArea>
    </format>
    <format dxfId="41">
      <pivotArea dataOnly="0" labelOnly="1" outline="0" fieldPosition="0">
        <references count="5">
          <reference field="0" count="1" selected="0">
            <x v="6"/>
          </reference>
          <reference field="1" count="1" selected="0">
            <x v="0"/>
          </reference>
          <reference field="3" count="1" selected="0">
            <x v="1"/>
          </reference>
          <reference field="5" count="1" selected="0">
            <x v="10"/>
          </reference>
          <reference field="6" count="1">
            <x v="6"/>
          </reference>
        </references>
      </pivotArea>
    </format>
    <format dxfId="40">
      <pivotArea dataOnly="0" labelOnly="1" outline="0" fieldPosition="0">
        <references count="5">
          <reference field="0" count="1" selected="0">
            <x v="7"/>
          </reference>
          <reference field="1" count="1" selected="0">
            <x v="0"/>
          </reference>
          <reference field="3" count="1" selected="0">
            <x v="0"/>
          </reference>
          <reference field="5" count="1" selected="0">
            <x v="4"/>
          </reference>
          <reference field="6" count="1">
            <x v="7"/>
          </reference>
        </references>
      </pivotArea>
    </format>
    <format dxfId="39">
      <pivotArea dataOnly="0" labelOnly="1" outline="0" fieldPosition="0">
        <references count="5">
          <reference field="0" count="1" selected="0">
            <x v="8"/>
          </reference>
          <reference field="1" count="1" selected="0">
            <x v="1"/>
          </reference>
          <reference field="3" count="1" selected="0">
            <x v="0"/>
          </reference>
          <reference field="5" count="1" selected="0">
            <x v="2"/>
          </reference>
          <reference field="6" count="1">
            <x v="0"/>
          </reference>
        </references>
      </pivotArea>
    </format>
    <format dxfId="38">
      <pivotArea dataOnly="0" labelOnly="1" outline="0" fieldPosition="0">
        <references count="5">
          <reference field="0" count="1" selected="0">
            <x v="9"/>
          </reference>
          <reference field="1" count="1" selected="0">
            <x v="0"/>
          </reference>
          <reference field="3" count="1" selected="0">
            <x v="0"/>
          </reference>
          <reference field="5" count="1" selected="0">
            <x v="1"/>
          </reference>
          <reference field="6" count="1">
            <x v="1"/>
          </reference>
        </references>
      </pivotArea>
    </format>
    <format dxfId="37">
      <pivotArea dataOnly="0" labelOnly="1" outline="0" fieldPosition="0">
        <references count="5">
          <reference field="0" count="1" selected="0">
            <x v="10"/>
          </reference>
          <reference field="1" count="1" selected="0">
            <x v="1"/>
          </reference>
          <reference field="3" count="1" selected="0">
            <x v="1"/>
          </reference>
          <reference field="5" count="1" selected="0">
            <x v="5"/>
          </reference>
          <reference field="6" count="1">
            <x v="7"/>
          </reference>
        </references>
      </pivotArea>
    </format>
    <format dxfId="36">
      <pivotArea dataOnly="0" labelOnly="1" outline="0" fieldPosition="0">
        <references count="5">
          <reference field="0" count="1" selected="0">
            <x v="11"/>
          </reference>
          <reference field="1" count="1" selected="0">
            <x v="2"/>
          </reference>
          <reference field="3" count="1" selected="0">
            <x v="0"/>
          </reference>
          <reference field="5" count="1" selected="0">
            <x v="3"/>
          </reference>
          <reference field="6" count="1">
            <x v="3"/>
          </reference>
        </references>
      </pivotArea>
    </format>
    <format dxfId="35">
      <pivotArea dataOnly="0" labelOnly="1" outline="0" fieldPosition="0">
        <references count="6">
          <reference field="0" count="1" selected="0">
            <x v="0"/>
          </reference>
          <reference field="1" count="1" selected="0">
            <x v="1"/>
          </reference>
          <reference field="3" count="1" selected="0">
            <x v="1"/>
          </reference>
          <reference field="5" count="1" selected="0">
            <x v="8"/>
          </reference>
          <reference field="6" count="1" selected="0">
            <x v="4"/>
          </reference>
          <reference field="14" count="1">
            <x v="0"/>
          </reference>
        </references>
      </pivotArea>
    </format>
    <format dxfId="34">
      <pivotArea dataOnly="0" labelOnly="1" outline="0" fieldPosition="0">
        <references count="6">
          <reference field="0" count="1" selected="0">
            <x v="1"/>
          </reference>
          <reference field="1" count="1" selected="0">
            <x v="1"/>
          </reference>
          <reference field="3" count="1" selected="0">
            <x v="0"/>
          </reference>
          <reference field="5" count="1" selected="0">
            <x v="6"/>
          </reference>
          <reference field="6" count="1" selected="0">
            <x v="2"/>
          </reference>
          <reference field="14" count="1">
            <x v="1"/>
          </reference>
        </references>
      </pivotArea>
    </format>
    <format dxfId="33">
      <pivotArea dataOnly="0" labelOnly="1" outline="0" fieldPosition="0">
        <references count="6">
          <reference field="0" count="1" selected="0">
            <x v="3"/>
          </reference>
          <reference field="1" count="1" selected="0">
            <x v="1"/>
          </reference>
          <reference field="3" count="1" selected="0">
            <x v="1"/>
          </reference>
          <reference field="5" count="1" selected="0">
            <x v="9"/>
          </reference>
          <reference field="6" count="1" selected="0">
            <x v="7"/>
          </reference>
          <reference field="14" count="1">
            <x v="0"/>
          </reference>
        </references>
      </pivotArea>
    </format>
    <format dxfId="32">
      <pivotArea dataOnly="0" labelOnly="1" outline="0" fieldPosition="0">
        <references count="6">
          <reference field="0" count="1" selected="0">
            <x v="5"/>
          </reference>
          <reference field="1" count="1" selected="0">
            <x v="0"/>
          </reference>
          <reference field="3" count="1" selected="0">
            <x v="1"/>
          </reference>
          <reference field="5" count="1" selected="0">
            <x v="0"/>
          </reference>
          <reference field="6" count="1" selected="0">
            <x v="5"/>
          </reference>
          <reference field="14" count="1">
            <x v="1"/>
          </reference>
        </references>
      </pivotArea>
    </format>
    <format dxfId="31">
      <pivotArea dataOnly="0" labelOnly="1" outline="0" fieldPosition="0">
        <references count="6">
          <reference field="0" count="1" selected="0">
            <x v="9"/>
          </reference>
          <reference field="1" count="1" selected="0">
            <x v="0"/>
          </reference>
          <reference field="3" count="1" selected="0">
            <x v="0"/>
          </reference>
          <reference field="5" count="1" selected="0">
            <x v="1"/>
          </reference>
          <reference field="6" count="1" selected="0">
            <x v="1"/>
          </reference>
          <reference field="14" count="1">
            <x v="0"/>
          </reference>
        </references>
      </pivotArea>
    </format>
    <format dxfId="30">
      <pivotArea dataOnly="0" labelOnly="1" outline="0" fieldPosition="0">
        <references count="6">
          <reference field="0" count="1" selected="0">
            <x v="10"/>
          </reference>
          <reference field="1" count="1" selected="0">
            <x v="1"/>
          </reference>
          <reference field="3" count="1" selected="0">
            <x v="1"/>
          </reference>
          <reference field="5" count="1" selected="0">
            <x v="5"/>
          </reference>
          <reference field="6" count="1" selected="0">
            <x v="7"/>
          </reference>
          <reference field="14" count="1">
            <x v="1"/>
          </reference>
        </references>
      </pivotArea>
    </format>
    <format dxfId="29">
      <pivotArea dataOnly="0" labelOnly="1" outline="0" fieldPosition="0">
        <references count="7">
          <reference field="0" count="1" selected="0">
            <x v="0"/>
          </reference>
          <reference field="1" count="1" selected="0">
            <x v="1"/>
          </reference>
          <reference field="3" count="1" selected="0">
            <x v="1"/>
          </reference>
          <reference field="5" count="1" selected="0">
            <x v="8"/>
          </reference>
          <reference field="6" count="1" selected="0">
            <x v="4"/>
          </reference>
          <reference field="14" count="1" selected="0">
            <x v="0"/>
          </reference>
          <reference field="17" count="1">
            <x v="1"/>
          </reference>
        </references>
      </pivotArea>
    </format>
    <format dxfId="28">
      <pivotArea dataOnly="0" labelOnly="1" outline="0" fieldPosition="0">
        <references count="7">
          <reference field="0" count="1" selected="0">
            <x v="1"/>
          </reference>
          <reference field="1" count="1" selected="0">
            <x v="1"/>
          </reference>
          <reference field="3" count="1" selected="0">
            <x v="0"/>
          </reference>
          <reference field="5" count="1" selected="0">
            <x v="6"/>
          </reference>
          <reference field="6" count="1" selected="0">
            <x v="2"/>
          </reference>
          <reference field="14" count="1" selected="0">
            <x v="1"/>
          </reference>
          <reference field="17" count="1">
            <x v="1"/>
          </reference>
        </references>
      </pivotArea>
    </format>
    <format dxfId="27">
      <pivotArea dataOnly="0" labelOnly="1" outline="0" fieldPosition="0">
        <references count="7">
          <reference field="0" count="1" selected="0">
            <x v="2"/>
          </reference>
          <reference field="1" count="1" selected="0">
            <x v="1"/>
          </reference>
          <reference field="3" count="1" selected="0">
            <x v="1"/>
          </reference>
          <reference field="5" count="1" selected="0">
            <x v="7"/>
          </reference>
          <reference field="6" count="1" selected="0">
            <x v="0"/>
          </reference>
          <reference field="14" count="1" selected="0">
            <x v="1"/>
          </reference>
          <reference field="17" count="1">
            <x v="1"/>
          </reference>
        </references>
      </pivotArea>
    </format>
    <format dxfId="26">
      <pivotArea dataOnly="0" labelOnly="1" outline="0" fieldPosition="0">
        <references count="7">
          <reference field="0" count="1" selected="0">
            <x v="3"/>
          </reference>
          <reference field="1" count="1" selected="0">
            <x v="1"/>
          </reference>
          <reference field="3" count="1" selected="0">
            <x v="1"/>
          </reference>
          <reference field="5" count="1" selected="0">
            <x v="9"/>
          </reference>
          <reference field="6" count="1" selected="0">
            <x v="7"/>
          </reference>
          <reference field="14" count="1" selected="0">
            <x v="0"/>
          </reference>
          <reference field="17" count="1">
            <x v="0"/>
          </reference>
        </references>
      </pivotArea>
    </format>
    <format dxfId="25">
      <pivotArea dataOnly="0" labelOnly="1" outline="0" fieldPosition="0">
        <references count="7">
          <reference field="0" count="1" selected="0">
            <x v="4"/>
          </reference>
          <reference field="1" count="1" selected="0">
            <x v="1"/>
          </reference>
          <reference field="3" count="1" selected="0">
            <x v="0"/>
          </reference>
          <reference field="5" count="1" selected="0">
            <x v="11"/>
          </reference>
          <reference field="6" count="1" selected="0">
            <x v="7"/>
          </reference>
          <reference field="14" count="1" selected="0">
            <x v="0"/>
          </reference>
          <reference field="17" count="1">
            <x v="0"/>
          </reference>
        </references>
      </pivotArea>
    </format>
    <format dxfId="24">
      <pivotArea dataOnly="0" labelOnly="1" outline="0" fieldPosition="0">
        <references count="7">
          <reference field="0" count="1" selected="0">
            <x v="5"/>
          </reference>
          <reference field="1" count="1" selected="0">
            <x v="0"/>
          </reference>
          <reference field="3" count="1" selected="0">
            <x v="1"/>
          </reference>
          <reference field="5" count="1" selected="0">
            <x v="0"/>
          </reference>
          <reference field="6" count="1" selected="0">
            <x v="5"/>
          </reference>
          <reference field="14" count="1" selected="0">
            <x v="1"/>
          </reference>
          <reference field="17" count="1">
            <x v="1"/>
          </reference>
        </references>
      </pivotArea>
    </format>
    <format dxfId="23">
      <pivotArea dataOnly="0" labelOnly="1" outline="0" fieldPosition="0">
        <references count="7">
          <reference field="0" count="1" selected="0">
            <x v="6"/>
          </reference>
          <reference field="1" count="1" selected="0">
            <x v="0"/>
          </reference>
          <reference field="3" count="1" selected="0">
            <x v="1"/>
          </reference>
          <reference field="5" count="1" selected="0">
            <x v="10"/>
          </reference>
          <reference field="6" count="1" selected="0">
            <x v="6"/>
          </reference>
          <reference field="14" count="1" selected="0">
            <x v="1"/>
          </reference>
          <reference field="17" count="1">
            <x v="0"/>
          </reference>
        </references>
      </pivotArea>
    </format>
    <format dxfId="22">
      <pivotArea dataOnly="0" labelOnly="1" outline="0" fieldPosition="0">
        <references count="7">
          <reference field="0" count="1" selected="0">
            <x v="7"/>
          </reference>
          <reference field="1" count="1" selected="0">
            <x v="0"/>
          </reference>
          <reference field="3" count="1" selected="0">
            <x v="0"/>
          </reference>
          <reference field="5" count="1" selected="0">
            <x v="4"/>
          </reference>
          <reference field="6" count="1" selected="0">
            <x v="7"/>
          </reference>
          <reference field="14" count="1" selected="0">
            <x v="1"/>
          </reference>
          <reference field="17" count="1">
            <x v="1"/>
          </reference>
        </references>
      </pivotArea>
    </format>
    <format dxfId="21">
      <pivotArea dataOnly="0" labelOnly="1" outline="0" fieldPosition="0">
        <references count="7">
          <reference field="0" count="1" selected="0">
            <x v="8"/>
          </reference>
          <reference field="1" count="1" selected="0">
            <x v="1"/>
          </reference>
          <reference field="3" count="1" selected="0">
            <x v="0"/>
          </reference>
          <reference field="5" count="1" selected="0">
            <x v="2"/>
          </reference>
          <reference field="6" count="1" selected="0">
            <x v="0"/>
          </reference>
          <reference field="14" count="1" selected="0">
            <x v="1"/>
          </reference>
          <reference field="17" count="1">
            <x v="1"/>
          </reference>
        </references>
      </pivotArea>
    </format>
    <format dxfId="20">
      <pivotArea dataOnly="0" labelOnly="1" outline="0" fieldPosition="0">
        <references count="7">
          <reference field="0" count="1" selected="0">
            <x v="9"/>
          </reference>
          <reference field="1" count="1" selected="0">
            <x v="0"/>
          </reference>
          <reference field="3" count="1" selected="0">
            <x v="0"/>
          </reference>
          <reference field="5" count="1" selected="0">
            <x v="1"/>
          </reference>
          <reference field="6" count="1" selected="0">
            <x v="1"/>
          </reference>
          <reference field="14" count="1" selected="0">
            <x v="0"/>
          </reference>
          <reference field="17" count="1">
            <x v="1"/>
          </reference>
        </references>
      </pivotArea>
    </format>
    <format dxfId="19">
      <pivotArea dataOnly="0" labelOnly="1" outline="0" fieldPosition="0">
        <references count="7">
          <reference field="0" count="1" selected="0">
            <x v="10"/>
          </reference>
          <reference field="1" count="1" selected="0">
            <x v="1"/>
          </reference>
          <reference field="3" count="1" selected="0">
            <x v="1"/>
          </reference>
          <reference field="5" count="1" selected="0">
            <x v="5"/>
          </reference>
          <reference field="6" count="1" selected="0">
            <x v="7"/>
          </reference>
          <reference field="14" count="1" selected="0">
            <x v="1"/>
          </reference>
          <reference field="17" count="1">
            <x v="1"/>
          </reference>
        </references>
      </pivotArea>
    </format>
    <format dxfId="18">
      <pivotArea dataOnly="0" labelOnly="1" outline="0" fieldPosition="0">
        <references count="7">
          <reference field="0" count="1" selected="0">
            <x v="11"/>
          </reference>
          <reference field="1" count="1" selected="0">
            <x v="2"/>
          </reference>
          <reference field="3" count="1" selected="0">
            <x v="0"/>
          </reference>
          <reference field="5" count="1" selected="0">
            <x v="3"/>
          </reference>
          <reference field="6" count="1" selected="0">
            <x v="3"/>
          </reference>
          <reference field="14" count="1" selected="0">
            <x v="1"/>
          </reference>
          <reference field="17" count="1">
            <x v="1"/>
          </reference>
        </references>
      </pivotArea>
    </format>
    <format dxfId="17">
      <pivotArea dataOnly="0" labelOnly="1" outline="0" fieldPosition="0">
        <references count="1">
          <reference field="4294967294" count="3">
            <x v="0"/>
            <x v="1"/>
            <x v="2"/>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0"/>
          </reference>
        </references>
      </pivotArea>
    </format>
    <format dxfId="13">
      <pivotArea outline="0" collapsedLevelsAreSubtotals="1" fieldPosition="0"/>
    </format>
    <format dxfId="12">
      <pivotArea field="1" type="button" dataOnly="0" labelOnly="1" outline="0" axis="axisRow" fieldPosition="1"/>
    </format>
    <format dxfId="11">
      <pivotArea dataOnly="0" labelOnly="1" outline="0" fieldPosition="0">
        <references count="2">
          <reference field="0" count="1" selected="0">
            <x v="5"/>
          </reference>
          <reference field="1" count="1">
            <x v="0"/>
          </reference>
        </references>
      </pivotArea>
    </format>
    <format dxfId="10">
      <pivotArea dataOnly="0" labelOnly="1" outline="0" fieldPosition="0">
        <references count="2">
          <reference field="0" count="1" selected="0">
            <x v="8"/>
          </reference>
          <reference field="1" count="1">
            <x v="1"/>
          </reference>
        </references>
      </pivotArea>
    </format>
    <format dxfId="9">
      <pivotArea dataOnly="0" labelOnly="1" outline="0" fieldPosition="0">
        <references count="2">
          <reference field="0" count="1" selected="0">
            <x v="9"/>
          </reference>
          <reference field="1" count="1">
            <x v="0"/>
          </reference>
        </references>
      </pivotArea>
    </format>
    <format dxfId="8">
      <pivotArea dataOnly="0" labelOnly="1" outline="0" fieldPosition="0">
        <references count="2">
          <reference field="0" count="1" selected="0">
            <x v="10"/>
          </reference>
          <reference field="1" count="1">
            <x v="1"/>
          </reference>
        </references>
      </pivotArea>
    </format>
    <format dxfId="7">
      <pivotArea dataOnly="0" labelOnly="1" outline="0" fieldPosition="0">
        <references count="2">
          <reference field="0" count="1" selected="0">
            <x v="11"/>
          </reference>
          <reference field="1" count="1">
            <x v="2"/>
          </reference>
        </references>
      </pivotArea>
    </format>
    <format dxfId="6">
      <pivotArea dataOnly="0" labelOnly="1" outline="0" fieldPosition="0">
        <references count="2">
          <reference field="0" count="1" selected="0">
            <x v="0"/>
          </reference>
          <reference field="1" count="1">
            <x v="1"/>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Team_Region" xr10:uid="{3D1B18AB-0877-4B21-B9DB-2F1BA1F88598}" sourceName="Sales Team/Region ">
  <pivotTables>
    <pivotTable tabId="4" name="Email_Report"/>
    <pivotTable tabId="2" name="PivotTable5"/>
    <pivotTable tabId="2" name="PivotTable6"/>
  </pivotTables>
  <data>
    <tabular pivotCacheId="846661660">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Team/Region " xr10:uid="{024E57CC-8289-493B-954C-3A1F1C93BAFD}" cache="Slicer_Sales_Team_Region" caption="Region" columnCount="4" style="BlueYellow_Theme_Slicer_Ful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9CA5B5-EF1E-4F7A-9650-EE5BF899DEBF}" name="Tracker" displayName="Tracker" ref="A3:Q15" totalsRowShown="0" headerRowDxfId="207" dataDxfId="206">
  <tableColumns count="17">
    <tableColumn id="16" xr3:uid="{E70020CD-4B56-4656-B9DB-31807E68DCB4}" name="Trxn. no." dataDxfId="205"/>
    <tableColumn id="1" xr3:uid="{E2FA7E19-6AEA-414D-983B-C5F722953019}" name="Date" dataDxfId="204"/>
    <tableColumn id="11" xr3:uid="{BB89922A-652D-4916-8D67-553427EA06E3}" name="Sales Agent" dataDxfId="203"/>
    <tableColumn id="12" xr3:uid="{58932D8C-3774-44B4-9EEB-982234900941}" name="Sales Team/Region " dataDxfId="202">
      <calculatedColumnFormula>INDEX(Teams[Region],MATCH(Tracker[[#This Row],[Sales Agent]],Teams[Agent Name],0))</calculatedColumnFormula>
    </tableColumn>
    <tableColumn id="13" xr3:uid="{C0F7D520-B805-46A1-B021-B57535254EFF}" name="Competitors" dataDxfId="201"/>
    <tableColumn id="14" xr3:uid="{C26832A9-2B64-4BF9-A9E7-791897A80B1D}" name="Customer" dataDxfId="200"/>
    <tableColumn id="2" xr3:uid="{DDB30E2C-1B15-4D27-B67E-654B6DD2D77A}" name="Opportunity / Angle" dataDxfId="199"/>
    <tableColumn id="3" xr3:uid="{8F8B9B72-FF16-41F2-8F6A-609A3D516BE8}" name="Deal Size ($)" dataDxfId="198"/>
    <tableColumn id="4" xr3:uid="{350723C6-C59A-428B-9E85-1214E1725E8D}" name="Do we know the Executive Sponsor?" dataDxfId="197"/>
    <tableColumn id="5" xr3:uid="{DD60403D-F49C-4BA4-B690-DF218181E16B}" name="ROI Analysis Validated?" dataDxfId="196"/>
    <tableColumn id="6" xr3:uid="{C079370D-255C-4184-BF41-E9129EFF722F}" name="Compelling Event Confirmed?" dataDxfId="195"/>
    <tableColumn id="7" xr3:uid="{3EF2503A-3B25-48C1-A172-13E83EC4FE63}" name="Demo Last?" dataDxfId="194"/>
    <tableColumn id="8" xr3:uid="{7F07CB83-994C-45C5-99F6-73E71E1030A6}" name="Unique Value Established?" dataDxfId="193"/>
    <tableColumn id="9" xr3:uid="{59649F27-B519-44F2-8DCC-B76EED162988}" name="Progress %" dataDxfId="192">
      <calculatedColumnFormula>IF(SUM(Tracker[[#This Row],[Do we know the Executive Sponsor?]:[Unique Value Established?]])=5,1,1/SUM(Tracker[[#This Row],[Do we know the Executive Sponsor?]:[Unique Value Established?]]))</calculatedColumnFormula>
    </tableColumn>
    <tableColumn id="10" xr3:uid="{73872C49-0A59-48FD-9432-9F81E299AF27}" name="MRR Category" dataDxfId="191">
      <calculatedColumnFormula>IF(SUM(Tracker[[#This Row],[Do we know the Executive Sponsor?]:[Unique Value Established?]])=5,"Predictable MRR","Deal behind Plan")</calculatedColumnFormula>
    </tableColumn>
    <tableColumn id="15" xr3:uid="{9722F5FD-8115-4896-8897-620D0E71C768}" name="Projected Revenue ($)" dataDxfId="190"/>
    <tableColumn id="17" xr3:uid="{31124B5A-C57A-413F-91ED-20DFA94C0353}" name="Date Modified" dataDxfId="18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27EEC0-39BB-4E95-89C2-A0A08E295923}" name="Teams" displayName="Teams" ref="A1:D17" totalsRowShown="0" headerRowDxfId="152" dataDxfId="151">
  <autoFilter ref="A1:D17" xr:uid="{4127EEC0-39BB-4E95-89C2-A0A08E295923}"/>
  <tableColumns count="4">
    <tableColumn id="1" xr3:uid="{AD6AA1D5-1C51-4F84-B9B2-D416CC7FDAD6}" name="Region" dataDxfId="150"/>
    <tableColumn id="2" xr3:uid="{227A13C7-17B7-4B51-A604-686ADB58B835}" name="Agent Name" dataDxfId="149"/>
    <tableColumn id="3" xr3:uid="{3AD5B4FF-9B70-4971-AC70-627FD6001B9A}" name="Designation" dataDxfId="148"/>
    <tableColumn id="4" xr3:uid="{52C4B97D-42C8-45F0-A10E-337440A694C3}" name="Email" dataDxfId="147"/>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01DEAE-1D22-4977-BC1D-9FED3FD95C00}" name="From_Date" displayName="From_Date" ref="A2:A3" totalsRowShown="0" headerRowDxfId="5" dataDxfId="4">
  <tableColumns count="1">
    <tableColumn id="1" xr3:uid="{CDE5DB91-A5CD-46D0-A58B-7E819A3850D2}" name="Date From:" dataDxfId="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25DFD9-246D-4D1F-B418-03A99ED240FC}" name="To_Date" displayName="To_Date" ref="C2:C3" totalsRowShown="0" headerRowDxfId="2" dataDxfId="1">
  <tableColumns count="1">
    <tableColumn id="1" xr3:uid="{2CED8AC6-6E5B-4B19-AA62-4950D2E8EAAA}" name="Date To:"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14.emf"/><Relationship Id="rId2" Type="http://schemas.openxmlformats.org/officeDocument/2006/relationships/drawing" Target="../drawings/drawing3.xml"/><Relationship Id="rId1" Type="http://schemas.openxmlformats.org/officeDocument/2006/relationships/pivotTable" Target="../pivotTables/pivotTable3.xml"/><Relationship Id="rId6" Type="http://schemas.openxmlformats.org/officeDocument/2006/relationships/control" Target="../activeX/activeX2.xml"/><Relationship Id="rId11" Type="http://schemas.microsoft.com/office/2007/relationships/slicer" Target="../slicers/slicer1.xml"/><Relationship Id="rId5" Type="http://schemas.openxmlformats.org/officeDocument/2006/relationships/image" Target="../media/image13.emf"/><Relationship Id="rId10" Type="http://schemas.openxmlformats.org/officeDocument/2006/relationships/table" Target="../tables/table4.xml"/><Relationship Id="rId4" Type="http://schemas.openxmlformats.org/officeDocument/2006/relationships/control" Target="../activeX/activeX1.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6AC33-6212-4BB5-8A35-D05451A85677}">
  <sheetPr codeName="ShTracker"/>
  <dimension ref="A1:XFD15"/>
  <sheetViews>
    <sheetView showGridLines="0" tabSelected="1" zoomScaleNormal="100" workbookViewId="0">
      <pane ySplit="3" topLeftCell="A4" activePane="bottomLeft" state="frozen"/>
      <selection pane="bottomLeft" activeCell="A3" sqref="A3"/>
    </sheetView>
  </sheetViews>
  <sheetFormatPr defaultRowHeight="15" x14ac:dyDescent="0.25"/>
  <cols>
    <col min="1" max="1" width="8.7109375" bestFit="1" customWidth="1"/>
    <col min="2" max="2" width="13.140625" customWidth="1"/>
    <col min="3" max="13" width="22.42578125" customWidth="1"/>
    <col min="14" max="14" width="10.5703125" bestFit="1" customWidth="1"/>
    <col min="15" max="15" width="22.42578125" customWidth="1"/>
    <col min="16" max="16" width="18.5703125" customWidth="1"/>
    <col min="17" max="17" width="12.85546875" customWidth="1"/>
    <col min="16379" max="16379" width="13.5703125" bestFit="1" customWidth="1"/>
  </cols>
  <sheetData>
    <row r="1" spans="1:17 16379:16384" x14ac:dyDescent="0.25">
      <c r="A1" s="17"/>
      <c r="B1" s="15"/>
      <c r="C1" s="15"/>
      <c r="D1" s="15"/>
      <c r="E1" s="15"/>
      <c r="F1" s="15"/>
      <c r="G1" s="15"/>
      <c r="H1" s="15"/>
      <c r="I1" s="15"/>
      <c r="J1" s="15"/>
      <c r="K1" s="15"/>
      <c r="L1" s="15"/>
      <c r="M1" s="15"/>
      <c r="N1" s="15"/>
      <c r="O1" s="15"/>
      <c r="P1" s="15"/>
      <c r="Q1" s="15"/>
      <c r="XEY1" s="13"/>
      <c r="XFB1" s="12">
        <f ca="1">EDATE(TODAY(),MONTH(RAND()))</f>
        <v>45832</v>
      </c>
      <c r="XFD1" s="12">
        <f ca="1">RANDBETWEEN(RANDBETWEEN(100,200),RANDBETWEEN(2000,8000))+XFB1</f>
        <v>47849</v>
      </c>
    </row>
    <row r="2" spans="1:17 16379:16384" s="22" customFormat="1" x14ac:dyDescent="0.25">
      <c r="A2" s="18"/>
      <c r="B2" s="19"/>
      <c r="C2" s="19"/>
      <c r="D2" s="19"/>
      <c r="E2" s="19"/>
      <c r="F2" s="19"/>
      <c r="G2" s="19"/>
      <c r="H2" s="19"/>
      <c r="I2" s="19"/>
      <c r="J2" s="19"/>
      <c r="K2" s="19"/>
      <c r="L2" s="19"/>
      <c r="M2" s="19"/>
      <c r="N2" s="19"/>
      <c r="O2" s="20"/>
      <c r="P2" s="21"/>
      <c r="Q2" s="21"/>
    </row>
    <row r="3" spans="1:17 16379:16384" ht="30" customHeight="1" x14ac:dyDescent="0.25">
      <c r="A3" s="16" t="s">
        <v>38</v>
      </c>
      <c r="B3" s="7" t="s">
        <v>29</v>
      </c>
      <c r="C3" s="7" t="s">
        <v>28</v>
      </c>
      <c r="D3" s="7" t="s">
        <v>24</v>
      </c>
      <c r="E3" s="7" t="s">
        <v>25</v>
      </c>
      <c r="F3" s="7" t="s">
        <v>26</v>
      </c>
      <c r="G3" s="7" t="s">
        <v>27</v>
      </c>
      <c r="H3" s="7" t="s">
        <v>30</v>
      </c>
      <c r="I3" s="1" t="s">
        <v>32</v>
      </c>
      <c r="J3" s="1" t="s">
        <v>33</v>
      </c>
      <c r="K3" s="1" t="s">
        <v>34</v>
      </c>
      <c r="L3" s="1" t="s">
        <v>35</v>
      </c>
      <c r="M3" s="1" t="s">
        <v>36</v>
      </c>
      <c r="N3" s="7" t="s">
        <v>1</v>
      </c>
      <c r="O3" s="7" t="s">
        <v>2</v>
      </c>
      <c r="P3" s="7" t="s">
        <v>37</v>
      </c>
      <c r="Q3" s="7" t="s">
        <v>40</v>
      </c>
    </row>
    <row r="4" spans="1:17 16379:16384" x14ac:dyDescent="0.25">
      <c r="A4" s="9" t="s">
        <v>44</v>
      </c>
      <c r="B4" s="11">
        <v>45754</v>
      </c>
      <c r="C4" s="1" t="s">
        <v>15</v>
      </c>
      <c r="D4" s="1" t="str">
        <f>INDEX(Teams[Region],MATCH(Tracker[[#This Row],[Sales Agent]],Teams[Agent Name],0))</f>
        <v>Sydney</v>
      </c>
      <c r="E4" s="1" t="s">
        <v>43</v>
      </c>
      <c r="F4" s="1" t="s">
        <v>45</v>
      </c>
      <c r="G4" s="6" t="s">
        <v>53</v>
      </c>
      <c r="H4" s="8">
        <v>5500</v>
      </c>
      <c r="I4" s="5">
        <v>1</v>
      </c>
      <c r="J4" s="5">
        <v>1</v>
      </c>
      <c r="K4" s="5">
        <v>1</v>
      </c>
      <c r="L4" s="5">
        <v>1</v>
      </c>
      <c r="M4" s="5">
        <v>1</v>
      </c>
      <c r="N4" s="4">
        <f>IF(SUM(Tracker[[#This Row],[Do we know the Executive Sponsor?]:[Unique Value Established?]])=5,1,1/SUM(Tracker[[#This Row],[Do we know the Executive Sponsor?]:[Unique Value Established?]]))</f>
        <v>1</v>
      </c>
      <c r="O4" s="1" t="str">
        <f>IF(SUM(Tracker[[#This Row],[Do we know the Executive Sponsor?]:[Unique Value Established?]])=5,"Predictable MRR","Deal behind Plan")</f>
        <v>Predictable MRR</v>
      </c>
      <c r="P4" s="14">
        <v>200000</v>
      </c>
      <c r="Q4" s="10">
        <v>45754</v>
      </c>
    </row>
    <row r="5" spans="1:17 16379:16384" x14ac:dyDescent="0.25">
      <c r="A5" s="9" t="s">
        <v>46</v>
      </c>
      <c r="B5" s="11">
        <v>45754</v>
      </c>
      <c r="C5" s="1" t="s">
        <v>13</v>
      </c>
      <c r="D5" s="1" t="str">
        <f>INDEX(Teams[Region],MATCH(Tracker[[#This Row],[Sales Agent]],Teams[Agent Name],0))</f>
        <v>Sydney</v>
      </c>
      <c r="E5" s="1" t="s">
        <v>47</v>
      </c>
      <c r="F5" s="1" t="s">
        <v>48</v>
      </c>
      <c r="G5" s="6" t="s">
        <v>41</v>
      </c>
      <c r="H5" s="8">
        <v>500500</v>
      </c>
      <c r="I5" s="5">
        <v>1</v>
      </c>
      <c r="J5" s="5">
        <v>1</v>
      </c>
      <c r="K5" s="5">
        <v>1</v>
      </c>
      <c r="L5" s="5">
        <v>1</v>
      </c>
      <c r="M5" s="5">
        <v>1</v>
      </c>
      <c r="N5" s="4">
        <f>IF(SUM(Tracker[[#This Row],[Do we know the Executive Sponsor?]:[Unique Value Established?]])=5,1,1/SUM(Tracker[[#This Row],[Do we know the Executive Sponsor?]:[Unique Value Established?]]))</f>
        <v>1</v>
      </c>
      <c r="O5" s="1" t="str">
        <f>IF(SUM(Tracker[[#This Row],[Do we know the Executive Sponsor?]:[Unique Value Established?]])=5,"Predictable MRR","Deal behind Plan")</f>
        <v>Predictable MRR</v>
      </c>
      <c r="P5" s="14">
        <v>2000000</v>
      </c>
      <c r="Q5" s="10">
        <v>45754</v>
      </c>
    </row>
    <row r="6" spans="1:17 16379:16384" x14ac:dyDescent="0.25">
      <c r="A6" s="9" t="s">
        <v>50</v>
      </c>
      <c r="B6" s="11">
        <v>45754</v>
      </c>
      <c r="C6" s="1" t="s">
        <v>5</v>
      </c>
      <c r="D6" s="1" t="str">
        <f>INDEX(Teams[Region],MATCH(Tracker[[#This Row],[Sales Agent]],Teams[Agent Name],0))</f>
        <v>Queensland</v>
      </c>
      <c r="E6" s="1" t="s">
        <v>51</v>
      </c>
      <c r="F6" s="1" t="s">
        <v>52</v>
      </c>
      <c r="G6" s="6" t="s">
        <v>49</v>
      </c>
      <c r="H6" s="8">
        <v>80026</v>
      </c>
      <c r="I6" s="5">
        <v>1</v>
      </c>
      <c r="J6" s="5">
        <v>1</v>
      </c>
      <c r="K6" s="5">
        <v>0</v>
      </c>
      <c r="L6" s="5">
        <v>1</v>
      </c>
      <c r="M6" s="5">
        <v>1</v>
      </c>
      <c r="N6" s="4">
        <f>IF(SUM(Tracker[[#This Row],[Do we know the Executive Sponsor?]:[Unique Value Established?]])=5,1,1/SUM(Tracker[[#This Row],[Do we know the Executive Sponsor?]:[Unique Value Established?]]))</f>
        <v>0.25</v>
      </c>
      <c r="O6" s="1" t="str">
        <f>IF(SUM(Tracker[[#This Row],[Do we know the Executive Sponsor?]:[Unique Value Established?]])=5,"Predictable MRR","Deal behind Plan")</f>
        <v>Deal behind Plan</v>
      </c>
      <c r="P6" s="14">
        <v>500000</v>
      </c>
      <c r="Q6" s="10"/>
    </row>
    <row r="7" spans="1:17 16379:16384" x14ac:dyDescent="0.25">
      <c r="A7" s="9" t="s">
        <v>54</v>
      </c>
      <c r="B7" s="11">
        <v>45754</v>
      </c>
      <c r="C7" s="1" t="s">
        <v>11</v>
      </c>
      <c r="D7" s="1" t="str">
        <f>INDEX(Teams[Region],MATCH(Tracker[[#This Row],[Sales Agent]],Teams[Agent Name],0))</f>
        <v>Queensland</v>
      </c>
      <c r="E7" s="1" t="s">
        <v>55</v>
      </c>
      <c r="F7" s="1" t="s">
        <v>56</v>
      </c>
      <c r="G7" s="6" t="s">
        <v>42</v>
      </c>
      <c r="H7" s="8">
        <v>8000</v>
      </c>
      <c r="I7" s="5">
        <v>1</v>
      </c>
      <c r="J7" s="5">
        <v>1</v>
      </c>
      <c r="K7" s="5">
        <v>1</v>
      </c>
      <c r="L7" s="5">
        <v>1</v>
      </c>
      <c r="M7" s="5">
        <v>1</v>
      </c>
      <c r="N7" s="4">
        <f>IF(SUM(Tracker[[#This Row],[Do we know the Executive Sponsor?]:[Unique Value Established?]])=5,1,1/SUM(Tracker[[#This Row],[Do we know the Executive Sponsor?]:[Unique Value Established?]]))</f>
        <v>1</v>
      </c>
      <c r="O7" s="1" t="str">
        <f>IF(SUM(Tracker[[#This Row],[Do we know the Executive Sponsor?]:[Unique Value Established?]])=5,"Predictable MRR","Deal behind Plan")</f>
        <v>Predictable MRR</v>
      </c>
      <c r="P7" s="14">
        <v>350000</v>
      </c>
      <c r="Q7" s="10">
        <v>45754</v>
      </c>
    </row>
    <row r="8" spans="1:17 16379:16384" x14ac:dyDescent="0.25">
      <c r="A8" s="9" t="s">
        <v>57</v>
      </c>
      <c r="B8" s="11">
        <v>45755</v>
      </c>
      <c r="C8" s="1" t="s">
        <v>14</v>
      </c>
      <c r="D8" s="1" t="str">
        <f>INDEX(Teams[Region],MATCH(Tracker[[#This Row],[Sales Agent]],Teams[Agent Name],0))</f>
        <v>Sydney</v>
      </c>
      <c r="E8" s="1" t="s">
        <v>58</v>
      </c>
      <c r="F8" s="1" t="s">
        <v>59</v>
      </c>
      <c r="G8" s="6" t="s">
        <v>60</v>
      </c>
      <c r="H8" s="8">
        <v>84000</v>
      </c>
      <c r="I8" s="5">
        <v>1</v>
      </c>
      <c r="J8" s="5">
        <v>1</v>
      </c>
      <c r="K8" s="5">
        <v>1</v>
      </c>
      <c r="L8" s="5">
        <v>0</v>
      </c>
      <c r="M8" s="5">
        <v>1</v>
      </c>
      <c r="N8" s="4">
        <f>IF(SUM(Tracker[[#This Row],[Do we know the Executive Sponsor?]:[Unique Value Established?]])=5,1,1/SUM(Tracker[[#This Row],[Do we know the Executive Sponsor?]:[Unique Value Established?]]))</f>
        <v>0.25</v>
      </c>
      <c r="O8" s="1" t="str">
        <f>IF(SUM(Tracker[[#This Row],[Do we know the Executive Sponsor?]:[Unique Value Established?]])=5,"Predictable MRR","Deal behind Plan")</f>
        <v>Deal behind Plan</v>
      </c>
      <c r="P8" s="14">
        <v>900000</v>
      </c>
      <c r="Q8" s="10">
        <v>45755</v>
      </c>
    </row>
    <row r="9" spans="1:17 16379:16384" x14ac:dyDescent="0.25">
      <c r="A9" s="9" t="s">
        <v>61</v>
      </c>
      <c r="B9" s="11">
        <v>45755</v>
      </c>
      <c r="C9" s="1" t="s">
        <v>15</v>
      </c>
      <c r="D9" s="1" t="str">
        <f>INDEX(Teams[Region],MATCH(Tracker[[#This Row],[Sales Agent]],Teams[Agent Name],0))</f>
        <v>Sydney</v>
      </c>
      <c r="E9" s="1" t="s">
        <v>62</v>
      </c>
      <c r="F9" s="1" t="s">
        <v>63</v>
      </c>
      <c r="G9" s="6" t="s">
        <v>42</v>
      </c>
      <c r="H9" s="8">
        <v>60000</v>
      </c>
      <c r="I9" s="5">
        <v>1</v>
      </c>
      <c r="J9" s="5">
        <v>1</v>
      </c>
      <c r="K9" s="5">
        <v>1</v>
      </c>
      <c r="L9" s="5">
        <v>1</v>
      </c>
      <c r="M9" s="5">
        <v>1</v>
      </c>
      <c r="N9" s="4">
        <f>IF(SUM(Tracker[[#This Row],[Do we know the Executive Sponsor?]:[Unique Value Established?]])=5,1,1/SUM(Tracker[[#This Row],[Do we know the Executive Sponsor?]:[Unique Value Established?]]))</f>
        <v>1</v>
      </c>
      <c r="O9" s="1" t="str">
        <f>IF(SUM(Tracker[[#This Row],[Do we know the Executive Sponsor?]:[Unique Value Established?]])=5,"Predictable MRR","Deal behind Plan")</f>
        <v>Predictable MRR</v>
      </c>
      <c r="P9" s="14">
        <v>800000</v>
      </c>
      <c r="Q9" s="10"/>
    </row>
    <row r="10" spans="1:17 16379:16384" x14ac:dyDescent="0.25">
      <c r="A10" s="9" t="s">
        <v>64</v>
      </c>
      <c r="B10" s="11">
        <v>45755</v>
      </c>
      <c r="C10" s="1" t="s">
        <v>11</v>
      </c>
      <c r="D10" s="1" t="str">
        <f>INDEX(Teams[Region],MATCH(Tracker[[#This Row],[Sales Agent]],Teams[Agent Name],0))</f>
        <v>Queensland</v>
      </c>
      <c r="E10" s="1"/>
      <c r="F10" s="1" t="s">
        <v>65</v>
      </c>
      <c r="G10" s="6" t="s">
        <v>66</v>
      </c>
      <c r="H10" s="8">
        <v>84000</v>
      </c>
      <c r="I10" s="5">
        <v>1</v>
      </c>
      <c r="J10" s="5">
        <v>1</v>
      </c>
      <c r="K10" s="5">
        <v>1</v>
      </c>
      <c r="L10" s="5">
        <v>1</v>
      </c>
      <c r="M10" s="5">
        <v>1</v>
      </c>
      <c r="N10" s="4">
        <f>IF(SUM(Tracker[[#This Row],[Do we know the Executive Sponsor?]:[Unique Value Established?]])=5,1,1/SUM(Tracker[[#This Row],[Do we know the Executive Sponsor?]:[Unique Value Established?]]))</f>
        <v>1</v>
      </c>
      <c r="O10" s="1" t="str">
        <f>IF(SUM(Tracker[[#This Row],[Do we know the Executive Sponsor?]:[Unique Value Established?]])=5,"Predictable MRR","Deal behind Plan")</f>
        <v>Predictable MRR</v>
      </c>
      <c r="P10" s="14">
        <v>1500000</v>
      </c>
      <c r="Q10" s="10"/>
    </row>
    <row r="11" spans="1:17 16379:16384" x14ac:dyDescent="0.25">
      <c r="A11" s="9" t="s">
        <v>67</v>
      </c>
      <c r="B11" s="11">
        <v>45755</v>
      </c>
      <c r="C11" s="1" t="s">
        <v>10</v>
      </c>
      <c r="D11" s="1" t="str">
        <f>INDEX(Teams[Region],MATCH(Tracker[[#This Row],[Sales Agent]],Teams[Agent Name],0))</f>
        <v>Queensland</v>
      </c>
      <c r="E11" s="1" t="s">
        <v>68</v>
      </c>
      <c r="F11" s="1" t="s">
        <v>69</v>
      </c>
      <c r="G11" s="6" t="s">
        <v>42</v>
      </c>
      <c r="H11" s="8">
        <v>57000</v>
      </c>
      <c r="I11" s="5">
        <v>1</v>
      </c>
      <c r="J11" s="5">
        <v>1</v>
      </c>
      <c r="K11" s="5">
        <v>0</v>
      </c>
      <c r="L11" s="5">
        <v>1</v>
      </c>
      <c r="M11" s="5">
        <v>1</v>
      </c>
      <c r="N11" s="4">
        <f>IF(SUM(Tracker[[#This Row],[Do we know the Executive Sponsor?]:[Unique Value Established?]])=5,1,1/SUM(Tracker[[#This Row],[Do we know the Executive Sponsor?]:[Unique Value Established?]]))</f>
        <v>0.25</v>
      </c>
      <c r="O11" s="1" t="str">
        <f>IF(SUM(Tracker[[#This Row],[Do we know the Executive Sponsor?]:[Unique Value Established?]])=5,"Predictable MRR","Deal behind Plan")</f>
        <v>Deal behind Plan</v>
      </c>
      <c r="P11" s="14">
        <v>1000000</v>
      </c>
      <c r="Q11" s="10"/>
    </row>
    <row r="12" spans="1:17 16379:16384" x14ac:dyDescent="0.25">
      <c r="A12" s="9" t="s">
        <v>70</v>
      </c>
      <c r="B12" s="11">
        <v>45755</v>
      </c>
      <c r="C12" s="1" t="s">
        <v>5</v>
      </c>
      <c r="D12" s="1" t="str">
        <f>INDEX(Teams[Region],MATCH(Tracker[[#This Row],[Sales Agent]],Teams[Agent Name],0))</f>
        <v>Queensland</v>
      </c>
      <c r="E12" s="1" t="s">
        <v>71</v>
      </c>
      <c r="F12" s="1" t="s">
        <v>68</v>
      </c>
      <c r="G12" s="6" t="s">
        <v>72</v>
      </c>
      <c r="H12" s="8">
        <v>5400</v>
      </c>
      <c r="I12" s="5">
        <v>1</v>
      </c>
      <c r="J12" s="5">
        <v>1</v>
      </c>
      <c r="K12" s="5">
        <v>1</v>
      </c>
      <c r="L12" s="5">
        <v>1</v>
      </c>
      <c r="M12" s="5">
        <v>1</v>
      </c>
      <c r="N12" s="4">
        <f>IF(SUM(Tracker[[#This Row],[Do we know the Executive Sponsor?]:[Unique Value Established?]])=5,1,1/SUM(Tracker[[#This Row],[Do we know the Executive Sponsor?]:[Unique Value Established?]]))</f>
        <v>1</v>
      </c>
      <c r="O12" s="1" t="str">
        <f>IF(SUM(Tracker[[#This Row],[Do we know the Executive Sponsor?]:[Unique Value Established?]])=5,"Predictable MRR","Deal behind Plan")</f>
        <v>Predictable MRR</v>
      </c>
      <c r="P12" s="14">
        <v>89995</v>
      </c>
      <c r="Q12" s="10"/>
    </row>
    <row r="13" spans="1:17 16379:16384" x14ac:dyDescent="0.25">
      <c r="A13" s="9" t="s">
        <v>73</v>
      </c>
      <c r="B13" s="11">
        <v>45755</v>
      </c>
      <c r="C13" s="1" t="s">
        <v>14</v>
      </c>
      <c r="D13" s="1" t="str">
        <f>INDEX(Teams[Region],MATCH(Tracker[[#This Row],[Sales Agent]],Teams[Agent Name],0))</f>
        <v>Sydney</v>
      </c>
      <c r="E13" s="1" t="s">
        <v>74</v>
      </c>
      <c r="F13" s="1" t="s">
        <v>75</v>
      </c>
      <c r="G13" s="6" t="s">
        <v>72</v>
      </c>
      <c r="H13" s="8">
        <v>85600</v>
      </c>
      <c r="I13" s="5">
        <v>1</v>
      </c>
      <c r="J13" s="5">
        <v>1</v>
      </c>
      <c r="K13" s="5">
        <v>1</v>
      </c>
      <c r="L13" s="5">
        <v>1</v>
      </c>
      <c r="M13" s="5">
        <v>1</v>
      </c>
      <c r="N13" s="4">
        <f>IF(SUM(Tracker[[#This Row],[Do we know the Executive Sponsor?]:[Unique Value Established?]])=5,1,1/SUM(Tracker[[#This Row],[Do we know the Executive Sponsor?]:[Unique Value Established?]]))</f>
        <v>1</v>
      </c>
      <c r="O13" s="1" t="str">
        <f>IF(SUM(Tracker[[#This Row],[Do we know the Executive Sponsor?]:[Unique Value Established?]])=5,"Predictable MRR","Deal behind Plan")</f>
        <v>Predictable MRR</v>
      </c>
      <c r="P13" s="14">
        <v>960000</v>
      </c>
      <c r="Q13" s="10"/>
    </row>
    <row r="14" spans="1:17 16379:16384" x14ac:dyDescent="0.25">
      <c r="A14" s="9" t="s">
        <v>76</v>
      </c>
      <c r="B14" s="11">
        <v>45755</v>
      </c>
      <c r="C14" s="1" t="s">
        <v>13</v>
      </c>
      <c r="D14" s="1" t="str">
        <f>INDEX(Teams[Region],MATCH(Tracker[[#This Row],[Sales Agent]],Teams[Agent Name],0))</f>
        <v>Sydney</v>
      </c>
      <c r="E14" s="1"/>
      <c r="F14" s="1" t="s">
        <v>77</v>
      </c>
      <c r="G14" s="6" t="s">
        <v>42</v>
      </c>
      <c r="H14" s="8">
        <v>96000</v>
      </c>
      <c r="I14" s="5">
        <v>1</v>
      </c>
      <c r="J14" s="5">
        <v>1</v>
      </c>
      <c r="K14" s="5">
        <v>1</v>
      </c>
      <c r="L14" s="5">
        <v>0</v>
      </c>
      <c r="M14" s="5">
        <v>1</v>
      </c>
      <c r="N14" s="4">
        <f>IF(SUM(Tracker[[#This Row],[Do we know the Executive Sponsor?]:[Unique Value Established?]])=5,1,1/SUM(Tracker[[#This Row],[Do we know the Executive Sponsor?]:[Unique Value Established?]]))</f>
        <v>0.25</v>
      </c>
      <c r="O14" s="1" t="str">
        <f>IF(SUM(Tracker[[#This Row],[Do we know the Executive Sponsor?]:[Unique Value Established?]])=5,"Predictable MRR","Deal behind Plan")</f>
        <v>Deal behind Plan</v>
      </c>
      <c r="P14" s="14">
        <v>690000</v>
      </c>
      <c r="Q14" s="10"/>
    </row>
    <row r="15" spans="1:17 16379:16384" x14ac:dyDescent="0.25">
      <c r="A15" s="9" t="s">
        <v>94</v>
      </c>
      <c r="B15" s="11">
        <v>45776</v>
      </c>
      <c r="C15" s="1" t="s">
        <v>5</v>
      </c>
      <c r="D15" s="1" t="str">
        <f>INDEX(Teams[Region],MATCH(Tracker[[#This Row],[Sales Agent]],Teams[Agent Name],0))</f>
        <v>Queensland</v>
      </c>
      <c r="E15" s="1"/>
      <c r="F15" s="1" t="s">
        <v>95</v>
      </c>
      <c r="G15" s="6" t="s">
        <v>96</v>
      </c>
      <c r="H15" s="8">
        <v>84600</v>
      </c>
      <c r="I15" s="5">
        <v>1</v>
      </c>
      <c r="J15" s="5">
        <v>1</v>
      </c>
      <c r="K15" s="5">
        <v>1</v>
      </c>
      <c r="L15" s="5">
        <v>1</v>
      </c>
      <c r="M15" s="5">
        <v>1</v>
      </c>
      <c r="N15" s="4">
        <f>IF(SUM(Tracker[[#This Row],[Do we know the Executive Sponsor?]:[Unique Value Established?]])=5,1,1/SUM(Tracker[[#This Row],[Do we know the Executive Sponsor?]:[Unique Value Established?]]))</f>
        <v>1</v>
      </c>
      <c r="O15" s="1" t="str">
        <f>IF(SUM(Tracker[[#This Row],[Do we know the Executive Sponsor?]:[Unique Value Established?]])=5,"Predictable MRR","Deal behind Plan")</f>
        <v>Predictable MRR</v>
      </c>
      <c r="P15" s="14">
        <v>9800000</v>
      </c>
      <c r="Q15" s="10"/>
    </row>
  </sheetData>
  <sheetProtection sheet="1" objects="1" scenarios="1"/>
  <conditionalFormatting sqref="O4:O15">
    <cfRule type="containsText" dxfId="210" priority="4" operator="containsText" text="Predictable MRR">
      <formula>NOT(ISERROR(SEARCH("Predictable MRR",O4)))</formula>
    </cfRule>
    <cfRule type="containsText" dxfId="209" priority="5" operator="containsText" text="Deals Behind Plan">
      <formula>NOT(ISERROR(SEARCH("Deals Behind Plan",O4)))</formula>
    </cfRule>
  </conditionalFormatting>
  <conditionalFormatting sqref="N4:N15">
    <cfRule type="cellIs" dxfId="208" priority="2" operator="equal">
      <formula>1</formula>
    </cfRule>
  </conditionalFormatting>
  <conditionalFormatting sqref="I4:M15">
    <cfRule type="dataBar" priority="10">
      <dataBar showValue="0">
        <cfvo type="num" val="0"/>
        <cfvo type="num" val="1"/>
        <color theme="9" tint="0.39997558519241921"/>
      </dataBar>
      <extLst>
        <ext xmlns:x14="http://schemas.microsoft.com/office/spreadsheetml/2009/9/main" uri="{B025F937-C7B1-47D3-B67F-A62EFF666E3E}">
          <x14:id>{0E35696F-0FA9-4744-8A73-858C966BFA5D}</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E35696F-0FA9-4744-8A73-858C966BFA5D}">
            <x14:dataBar minLength="0" maxLength="100" gradient="0">
              <x14:cfvo type="num">
                <xm:f>0</xm:f>
              </x14:cfvo>
              <x14:cfvo type="num">
                <xm:f>1</xm:f>
              </x14:cfvo>
              <x14:negativeFillColor rgb="FFFF0000"/>
              <x14:axisColor rgb="FF000000"/>
            </x14:dataBar>
          </x14:cfRule>
          <xm:sqref>I4:M15</xm:sqref>
        </x14:conditionalFormatting>
        <x14:conditionalFormatting xmlns:xm="http://schemas.microsoft.com/office/excel/2006/main">
          <x14:cfRule type="iconSet" priority="146" id="{16EF7B6B-012A-463B-B85D-2DF67109691E}">
            <x14:iconSet iconSet="3Symbols2" showValue="0" custom="1">
              <x14:cfvo type="percent">
                <xm:f>0</xm:f>
              </x14:cfvo>
              <x14:cfvo type="percent">
                <xm:f>0</xm:f>
              </x14:cfvo>
              <x14:cfvo type="percent">
                <xm:f>1</xm:f>
              </x14:cfvo>
              <x14:cfIcon iconSet="NoIcons" iconId="0"/>
              <x14:cfIcon iconSet="3Symbols2" iconId="0"/>
              <x14:cfIcon iconSet="3Symbols2" iconId="2"/>
            </x14:iconSet>
          </x14:cfRule>
          <xm:sqref>I4:M15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03188-D44F-4089-B98E-9EF7000E11FA}">
  <sheetPr codeName="ShTeams"/>
  <dimension ref="A1:XEZ17"/>
  <sheetViews>
    <sheetView showGridLines="0" workbookViewId="0"/>
  </sheetViews>
  <sheetFormatPr defaultRowHeight="15" x14ac:dyDescent="0.25"/>
  <cols>
    <col min="1" max="1" width="11.7109375" bestFit="1" customWidth="1"/>
    <col min="2" max="2" width="18.85546875" bestFit="1" customWidth="1"/>
    <col min="3" max="3" width="16.140625" bestFit="1" customWidth="1"/>
    <col min="4" max="4" width="34.85546875" customWidth="1"/>
    <col min="8" max="8" width="13.5703125" bestFit="1" customWidth="1"/>
    <col min="9" max="9" width="17" bestFit="1" customWidth="1"/>
    <col min="10" max="10" width="32.85546875" bestFit="1" customWidth="1"/>
    <col min="11" max="11" width="10.5703125" customWidth="1"/>
    <col min="12" max="12" width="20.85546875" bestFit="1" customWidth="1"/>
    <col min="13" max="13" width="33.42578125" bestFit="1" customWidth="1"/>
    <col min="14" max="14" width="32.28515625" bestFit="1" customWidth="1"/>
    <col min="15" max="15" width="19" bestFit="1" customWidth="1"/>
    <col min="16" max="16" width="13" bestFit="1" customWidth="1"/>
    <col min="17" max="18" width="33.5703125" bestFit="1" customWidth="1"/>
    <col min="19" max="19" width="18.85546875" bestFit="1" customWidth="1"/>
    <col min="20" max="20" width="13.85546875" bestFit="1" customWidth="1"/>
    <col min="21" max="21" width="33.42578125" bestFit="1" customWidth="1"/>
    <col min="16377" max="16377" width="13.140625" bestFit="1" customWidth="1"/>
    <col min="16378" max="16378" width="14.42578125" bestFit="1" customWidth="1"/>
    <col min="16379" max="16379" width="18.85546875" bestFit="1" customWidth="1"/>
    <col min="16380" max="16380" width="12.85546875" bestFit="1" customWidth="1"/>
  </cols>
  <sheetData>
    <row r="1" spans="1:13 16377:16380" x14ac:dyDescent="0.25">
      <c r="A1" s="2" t="s">
        <v>3</v>
      </c>
      <c r="B1" s="2" t="s">
        <v>31</v>
      </c>
      <c r="C1" s="2" t="s">
        <v>39</v>
      </c>
      <c r="D1" s="2" t="s">
        <v>91</v>
      </c>
    </row>
    <row r="2" spans="1:13 16377:16380" x14ac:dyDescent="0.25">
      <c r="A2" s="3" t="s">
        <v>6</v>
      </c>
      <c r="B2" s="3" t="s">
        <v>10</v>
      </c>
      <c r="C2" s="3" t="s">
        <v>4</v>
      </c>
      <c r="D2" t="s">
        <v>108</v>
      </c>
    </row>
    <row r="3" spans="1:13 16377:16380" x14ac:dyDescent="0.25">
      <c r="A3" s="3" t="s">
        <v>6</v>
      </c>
      <c r="B3" s="3" t="s">
        <v>11</v>
      </c>
      <c r="C3" s="3" t="s">
        <v>0</v>
      </c>
      <c r="D3" t="s">
        <v>109</v>
      </c>
    </row>
    <row r="4" spans="1:13 16377:16380" x14ac:dyDescent="0.25">
      <c r="A4" s="3" t="s">
        <v>6</v>
      </c>
      <c r="B4" s="3" t="s">
        <v>12</v>
      </c>
      <c r="C4" s="3" t="s">
        <v>0</v>
      </c>
      <c r="D4" s="23" t="s">
        <v>78</v>
      </c>
    </row>
    <row r="5" spans="1:13 16377:16380" x14ac:dyDescent="0.25">
      <c r="A5" s="3" t="s">
        <v>6</v>
      </c>
      <c r="B5" s="3" t="s">
        <v>5</v>
      </c>
      <c r="C5" s="3" t="s">
        <v>0</v>
      </c>
      <c r="D5" s="23" t="s">
        <v>79</v>
      </c>
      <c r="H5" s="33" t="s">
        <v>39</v>
      </c>
      <c r="I5" t="s">
        <v>107</v>
      </c>
      <c r="L5" s="33" t="s">
        <v>39</v>
      </c>
      <c r="M5" t="s">
        <v>107</v>
      </c>
    </row>
    <row r="6" spans="1:13 16377:16380" x14ac:dyDescent="0.25">
      <c r="A6" s="3" t="s">
        <v>7</v>
      </c>
      <c r="B6" s="3" t="s">
        <v>13</v>
      </c>
      <c r="C6" s="3" t="s">
        <v>4</v>
      </c>
      <c r="D6" s="23" t="s">
        <v>80</v>
      </c>
      <c r="XEW6" s="25"/>
      <c r="XEX6" s="25"/>
      <c r="XEY6" s="25"/>
      <c r="XEZ6" s="25"/>
    </row>
    <row r="7" spans="1:13 16377:16380" x14ac:dyDescent="0.25">
      <c r="A7" s="3" t="s">
        <v>7</v>
      </c>
      <c r="B7" s="3" t="s">
        <v>14</v>
      </c>
      <c r="C7" s="3" t="s">
        <v>0</v>
      </c>
      <c r="D7" s="23" t="s">
        <v>81</v>
      </c>
      <c r="H7" s="33" t="s">
        <v>24</v>
      </c>
      <c r="I7" s="33" t="s">
        <v>28</v>
      </c>
      <c r="J7" s="33" t="s">
        <v>91</v>
      </c>
      <c r="L7" s="33" t="s">
        <v>28</v>
      </c>
      <c r="M7" s="33" t="s">
        <v>91</v>
      </c>
      <c r="XEW7" s="25"/>
      <c r="XEX7" s="25"/>
      <c r="XEY7" s="25"/>
      <c r="XEZ7" s="25"/>
    </row>
    <row r="8" spans="1:13 16377:16380" x14ac:dyDescent="0.25">
      <c r="A8" s="3" t="s">
        <v>7</v>
      </c>
      <c r="B8" s="3" t="s">
        <v>15</v>
      </c>
      <c r="C8" s="3" t="s">
        <v>0</v>
      </c>
      <c r="D8" s="23" t="s">
        <v>82</v>
      </c>
      <c r="H8" t="s">
        <v>6</v>
      </c>
      <c r="I8" t="s">
        <v>10</v>
      </c>
      <c r="J8" t="s">
        <v>108</v>
      </c>
      <c r="L8" t="s">
        <v>10</v>
      </c>
      <c r="M8" t="s">
        <v>108</v>
      </c>
      <c r="XEW8" s="25"/>
      <c r="XEX8" s="25"/>
      <c r="XEY8" s="25"/>
      <c r="XEZ8" s="25"/>
    </row>
    <row r="9" spans="1:13 16377:16380" x14ac:dyDescent="0.25">
      <c r="A9" s="3" t="s">
        <v>7</v>
      </c>
      <c r="B9" s="3" t="s">
        <v>16</v>
      </c>
      <c r="C9" s="3" t="s">
        <v>0</v>
      </c>
      <c r="D9" s="23" t="s">
        <v>83</v>
      </c>
      <c r="I9" t="s">
        <v>5</v>
      </c>
      <c r="J9" t="s">
        <v>79</v>
      </c>
      <c r="L9" t="s">
        <v>14</v>
      </c>
      <c r="M9" t="s">
        <v>81</v>
      </c>
      <c r="XEW9" s="25"/>
      <c r="XEX9" s="25"/>
      <c r="XEY9" s="25"/>
      <c r="XEZ9" s="25"/>
    </row>
    <row r="10" spans="1:13 16377:16380" x14ac:dyDescent="0.25">
      <c r="A10" s="3" t="s">
        <v>8</v>
      </c>
      <c r="B10" s="3" t="s">
        <v>17</v>
      </c>
      <c r="C10" s="3" t="s">
        <v>4</v>
      </c>
      <c r="D10" s="23" t="s">
        <v>84</v>
      </c>
      <c r="I10" t="s">
        <v>11</v>
      </c>
      <c r="J10" t="s">
        <v>109</v>
      </c>
      <c r="L10" t="s">
        <v>5</v>
      </c>
      <c r="M10" t="s">
        <v>79</v>
      </c>
      <c r="XEW10" s="25"/>
      <c r="XEX10" s="25"/>
      <c r="XEY10" s="25"/>
      <c r="XEZ10" s="25"/>
    </row>
    <row r="11" spans="1:13 16377:16380" x14ac:dyDescent="0.25">
      <c r="A11" s="3" t="s">
        <v>8</v>
      </c>
      <c r="B11" s="3" t="s">
        <v>18</v>
      </c>
      <c r="C11" s="3" t="s">
        <v>0</v>
      </c>
      <c r="D11" s="23" t="s">
        <v>85</v>
      </c>
      <c r="H11" t="s">
        <v>7</v>
      </c>
      <c r="I11" t="s">
        <v>14</v>
      </c>
      <c r="J11" t="s">
        <v>81</v>
      </c>
      <c r="L11" t="s">
        <v>13</v>
      </c>
      <c r="M11" t="s">
        <v>80</v>
      </c>
      <c r="XEW11" s="25"/>
      <c r="XEX11" s="25"/>
      <c r="XEY11" s="25"/>
      <c r="XEZ11" s="25"/>
    </row>
    <row r="12" spans="1:13 16377:16380" x14ac:dyDescent="0.25">
      <c r="A12" s="3" t="s">
        <v>8</v>
      </c>
      <c r="B12" s="3" t="s">
        <v>19</v>
      </c>
      <c r="C12" s="3" t="s">
        <v>0</v>
      </c>
      <c r="D12" s="23" t="s">
        <v>86</v>
      </c>
      <c r="I12" t="s">
        <v>13</v>
      </c>
      <c r="J12" t="s">
        <v>80</v>
      </c>
      <c r="L12" t="s">
        <v>11</v>
      </c>
      <c r="M12" t="s">
        <v>109</v>
      </c>
      <c r="XEW12" s="25"/>
      <c r="XEX12" s="25"/>
      <c r="XEY12" s="25"/>
      <c r="XEZ12" s="25"/>
    </row>
    <row r="13" spans="1:13 16377:16380" x14ac:dyDescent="0.25">
      <c r="A13" s="3" t="s">
        <v>8</v>
      </c>
      <c r="B13" s="3" t="s">
        <v>20</v>
      </c>
      <c r="C13" s="3" t="s">
        <v>0</v>
      </c>
      <c r="D13" s="23" t="s">
        <v>87</v>
      </c>
      <c r="I13" t="s">
        <v>15</v>
      </c>
      <c r="J13" t="s">
        <v>82</v>
      </c>
      <c r="L13" t="s">
        <v>15</v>
      </c>
      <c r="M13" t="s">
        <v>82</v>
      </c>
      <c r="XEW13" s="25"/>
      <c r="XEX13" s="25"/>
      <c r="XEY13" s="25"/>
      <c r="XEZ13" s="25"/>
    </row>
    <row r="14" spans="1:13 16377:16380" x14ac:dyDescent="0.25">
      <c r="A14" s="3" t="s">
        <v>9</v>
      </c>
      <c r="B14" s="3" t="s">
        <v>21</v>
      </c>
      <c r="C14" s="3" t="s">
        <v>4</v>
      </c>
      <c r="D14" s="23" t="s">
        <v>88</v>
      </c>
      <c r="XEW14" s="25"/>
      <c r="XEX14" s="25"/>
      <c r="XEY14" s="25"/>
      <c r="XEZ14" s="25"/>
    </row>
    <row r="15" spans="1:13 16377:16380" x14ac:dyDescent="0.25">
      <c r="A15" s="3" t="s">
        <v>9</v>
      </c>
      <c r="B15" s="3" t="s">
        <v>22</v>
      </c>
      <c r="C15" s="3" t="s">
        <v>0</v>
      </c>
      <c r="D15" s="23" t="s">
        <v>89</v>
      </c>
      <c r="XEW15" s="25"/>
      <c r="XEX15" s="25"/>
      <c r="XEY15" s="25"/>
      <c r="XEZ15" s="25"/>
    </row>
    <row r="16" spans="1:13 16377:16380" x14ac:dyDescent="0.25">
      <c r="A16" s="3" t="s">
        <v>9</v>
      </c>
      <c r="B16" s="3" t="s">
        <v>23</v>
      </c>
      <c r="C16" s="3" t="s">
        <v>0</v>
      </c>
      <c r="D16" s="23" t="s">
        <v>90</v>
      </c>
      <c r="XEW16" s="25"/>
      <c r="XEX16" s="25"/>
      <c r="XEY16" s="25"/>
      <c r="XEZ16" s="25"/>
    </row>
    <row r="17" spans="1:4 16377:16380" x14ac:dyDescent="0.25">
      <c r="A17" s="3" t="s">
        <v>9</v>
      </c>
      <c r="B17" s="3" t="s">
        <v>99</v>
      </c>
      <c r="C17" s="3" t="s">
        <v>0</v>
      </c>
      <c r="D17" t="s">
        <v>100</v>
      </c>
      <c r="XEW17" s="25"/>
      <c r="XEX17" s="25"/>
      <c r="XEY17" s="25"/>
      <c r="XEZ17" s="25"/>
    </row>
  </sheetData>
  <phoneticPr fontId="5" type="noConversion"/>
  <pageMargins left="0.7" right="0.7" top="0.75" bottom="0.75" header="0.3" footer="0.3"/>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563DA-F892-4A78-A7D5-CB277836AB58}">
  <sheetPr codeName="ShEmailRep"/>
  <dimension ref="A1:XFD24"/>
  <sheetViews>
    <sheetView showGridLines="0" workbookViewId="0">
      <selection activeCell="A12" sqref="A12"/>
    </sheetView>
  </sheetViews>
  <sheetFormatPr defaultRowHeight="15" x14ac:dyDescent="0.25"/>
  <cols>
    <col min="1" max="1" width="22.28515625" bestFit="1" customWidth="1"/>
    <col min="2" max="2" width="15" style="27" customWidth="1"/>
    <col min="3" max="3" width="21" customWidth="1"/>
    <col min="4" max="4" width="24.140625" bestFit="1" customWidth="1"/>
    <col min="5" max="5" width="22.28515625" bestFit="1" customWidth="1"/>
    <col min="6" max="6" width="18" bestFit="1" customWidth="1"/>
    <col min="7" max="7" width="32.28515625" bestFit="1" customWidth="1"/>
    <col min="8" max="8" width="19.85546875" style="27" bestFit="1" customWidth="1"/>
    <col min="9" max="9" width="12.85546875" style="27" bestFit="1" customWidth="1"/>
    <col min="10" max="10" width="11.5703125" style="27" bestFit="1" customWidth="1"/>
    <col min="11" max="11" width="22.140625" bestFit="1" customWidth="1"/>
    <col min="16370" max="16370" width="13.85546875" bestFit="1" customWidth="1"/>
    <col min="16371" max="16371" width="16.140625" bestFit="1" customWidth="1"/>
  </cols>
  <sheetData>
    <row r="1" spans="1:11 16384:16384" x14ac:dyDescent="0.25">
      <c r="F1" s="32"/>
      <c r="G1" s="32"/>
      <c r="J1"/>
      <c r="XFD1" t="s">
        <v>98</v>
      </c>
    </row>
    <row r="2" spans="1:11 16384:16384" x14ac:dyDescent="0.25">
      <c r="A2" s="27" t="s">
        <v>92</v>
      </c>
      <c r="C2" s="27" t="s">
        <v>93</v>
      </c>
      <c r="E2" s="32"/>
      <c r="J2"/>
    </row>
    <row r="3" spans="1:11 16384:16384" x14ac:dyDescent="0.25">
      <c r="A3" s="24" t="s">
        <v>97</v>
      </c>
      <c r="C3" s="24" t="s">
        <v>97</v>
      </c>
      <c r="E3" s="32"/>
      <c r="H3"/>
      <c r="I3"/>
      <c r="J3"/>
    </row>
    <row r="4" spans="1:11 16384:16384" x14ac:dyDescent="0.25">
      <c r="H4"/>
      <c r="I4"/>
      <c r="J4"/>
    </row>
    <row r="5" spans="1:11 16384:16384" x14ac:dyDescent="0.25">
      <c r="H5"/>
      <c r="I5"/>
      <c r="J5"/>
    </row>
    <row r="6" spans="1:11 16384:16384" x14ac:dyDescent="0.25">
      <c r="H6"/>
      <c r="I6"/>
      <c r="J6"/>
    </row>
    <row r="7" spans="1:11 16384:16384" x14ac:dyDescent="0.25">
      <c r="H7"/>
      <c r="I7"/>
      <c r="J7"/>
    </row>
    <row r="8" spans="1:11 16384:16384" x14ac:dyDescent="0.25">
      <c r="A8" s="31"/>
      <c r="B8" s="31"/>
      <c r="H8"/>
      <c r="I8"/>
      <c r="J8"/>
    </row>
    <row r="9" spans="1:11 16384:16384" x14ac:dyDescent="0.25">
      <c r="A9" s="31"/>
      <c r="B9" s="31"/>
      <c r="H9"/>
      <c r="I9"/>
      <c r="J9"/>
    </row>
    <row r="10" spans="1:11 16384:16384" x14ac:dyDescent="0.25">
      <c r="A10" s="31"/>
      <c r="B10" s="31"/>
      <c r="H10"/>
      <c r="I10"/>
      <c r="J10"/>
    </row>
    <row r="11" spans="1:11 16384:16384" x14ac:dyDescent="0.25">
      <c r="H11"/>
      <c r="I11"/>
      <c r="J11"/>
    </row>
    <row r="12" spans="1:11 16384:16384" x14ac:dyDescent="0.25">
      <c r="A12" s="33" t="s">
        <v>38</v>
      </c>
      <c r="B12" s="26" t="s">
        <v>29</v>
      </c>
      <c r="C12" s="33" t="s">
        <v>24</v>
      </c>
      <c r="D12" s="33" t="s">
        <v>26</v>
      </c>
      <c r="E12" s="33" t="s">
        <v>27</v>
      </c>
      <c r="F12" s="33" t="s">
        <v>2</v>
      </c>
      <c r="G12" s="33" t="s">
        <v>39</v>
      </c>
      <c r="H12" s="33" t="s">
        <v>25</v>
      </c>
      <c r="I12" s="27" t="s">
        <v>104</v>
      </c>
      <c r="J12" s="27" t="s">
        <v>105</v>
      </c>
      <c r="K12" s="27" t="s">
        <v>106</v>
      </c>
    </row>
    <row r="13" spans="1:11 16384:16384" x14ac:dyDescent="0.25">
      <c r="A13" t="s">
        <v>57</v>
      </c>
      <c r="B13" s="28">
        <v>45755</v>
      </c>
      <c r="C13" t="s">
        <v>7</v>
      </c>
      <c r="D13" t="s">
        <v>59</v>
      </c>
      <c r="E13" t="s">
        <v>60</v>
      </c>
      <c r="F13" t="s">
        <v>101</v>
      </c>
      <c r="G13" t="s">
        <v>0</v>
      </c>
      <c r="H13" t="s">
        <v>58</v>
      </c>
      <c r="I13" s="30">
        <v>84000</v>
      </c>
      <c r="J13" s="29">
        <v>0.25</v>
      </c>
      <c r="K13" s="30">
        <v>900000</v>
      </c>
    </row>
    <row r="14" spans="1:11 16384:16384" x14ac:dyDescent="0.25">
      <c r="A14" t="s">
        <v>64</v>
      </c>
      <c r="B14" s="34">
        <v>45755</v>
      </c>
      <c r="C14" t="s">
        <v>6</v>
      </c>
      <c r="D14" t="s">
        <v>65</v>
      </c>
      <c r="E14" t="s">
        <v>66</v>
      </c>
      <c r="F14" t="s">
        <v>102</v>
      </c>
      <c r="G14" t="s">
        <v>0</v>
      </c>
      <c r="H14" t="s">
        <v>103</v>
      </c>
      <c r="I14" s="30">
        <v>84000</v>
      </c>
      <c r="J14" s="29">
        <v>1</v>
      </c>
      <c r="K14" s="30">
        <v>1500000</v>
      </c>
    </row>
    <row r="15" spans="1:11 16384:16384" x14ac:dyDescent="0.25">
      <c r="A15" t="s">
        <v>73</v>
      </c>
      <c r="B15" s="34">
        <v>45755</v>
      </c>
      <c r="C15" t="s">
        <v>7</v>
      </c>
      <c r="D15" t="s">
        <v>75</v>
      </c>
      <c r="E15" t="s">
        <v>72</v>
      </c>
      <c r="F15" t="s">
        <v>102</v>
      </c>
      <c r="G15" t="s">
        <v>0</v>
      </c>
      <c r="H15" t="s">
        <v>74</v>
      </c>
      <c r="I15" s="30">
        <v>85600</v>
      </c>
      <c r="J15" s="29">
        <v>1</v>
      </c>
      <c r="K15" s="30">
        <v>960000</v>
      </c>
    </row>
    <row r="16" spans="1:11 16384:16384" x14ac:dyDescent="0.25">
      <c r="A16" t="s">
        <v>76</v>
      </c>
      <c r="B16" s="34">
        <v>45755</v>
      </c>
      <c r="C16" t="s">
        <v>7</v>
      </c>
      <c r="D16" t="s">
        <v>77</v>
      </c>
      <c r="E16" t="s">
        <v>42</v>
      </c>
      <c r="F16" t="s">
        <v>101</v>
      </c>
      <c r="G16" t="s">
        <v>4</v>
      </c>
      <c r="H16" t="s">
        <v>103</v>
      </c>
      <c r="I16" s="30">
        <v>96000</v>
      </c>
      <c r="J16" s="29">
        <v>0.25</v>
      </c>
      <c r="K16" s="30">
        <v>690000</v>
      </c>
    </row>
    <row r="17" spans="1:11" x14ac:dyDescent="0.25">
      <c r="A17" t="s">
        <v>67</v>
      </c>
      <c r="B17" s="34">
        <v>45755</v>
      </c>
      <c r="C17" t="s">
        <v>6</v>
      </c>
      <c r="D17" t="s">
        <v>69</v>
      </c>
      <c r="E17" t="s">
        <v>42</v>
      </c>
      <c r="F17" t="s">
        <v>101</v>
      </c>
      <c r="G17" t="s">
        <v>4</v>
      </c>
      <c r="H17" t="s">
        <v>68</v>
      </c>
      <c r="I17" s="30">
        <v>57000</v>
      </c>
      <c r="J17" s="29">
        <v>0.25</v>
      </c>
      <c r="K17" s="30">
        <v>1000000</v>
      </c>
    </row>
    <row r="18" spans="1:11" x14ac:dyDescent="0.25">
      <c r="A18" t="s">
        <v>44</v>
      </c>
      <c r="B18" s="28">
        <v>45754</v>
      </c>
      <c r="C18" t="s">
        <v>7</v>
      </c>
      <c r="D18" t="s">
        <v>45</v>
      </c>
      <c r="E18" t="s">
        <v>53</v>
      </c>
      <c r="F18" t="s">
        <v>102</v>
      </c>
      <c r="G18" t="s">
        <v>0</v>
      </c>
      <c r="H18" t="s">
        <v>43</v>
      </c>
      <c r="I18" s="30">
        <v>5500</v>
      </c>
      <c r="J18" s="29">
        <v>1</v>
      </c>
      <c r="K18" s="30">
        <v>200000</v>
      </c>
    </row>
    <row r="19" spans="1:11" x14ac:dyDescent="0.25">
      <c r="A19" t="s">
        <v>46</v>
      </c>
      <c r="B19" s="34">
        <v>45754</v>
      </c>
      <c r="C19" t="s">
        <v>7</v>
      </c>
      <c r="D19" t="s">
        <v>48</v>
      </c>
      <c r="E19" t="s">
        <v>41</v>
      </c>
      <c r="F19" t="s">
        <v>102</v>
      </c>
      <c r="G19" t="s">
        <v>4</v>
      </c>
      <c r="H19" t="s">
        <v>47</v>
      </c>
      <c r="I19" s="30">
        <v>500500</v>
      </c>
      <c r="J19" s="29">
        <v>1</v>
      </c>
      <c r="K19" s="30">
        <v>2000000</v>
      </c>
    </row>
    <row r="20" spans="1:11" x14ac:dyDescent="0.25">
      <c r="A20" t="s">
        <v>54</v>
      </c>
      <c r="B20" s="34">
        <v>45754</v>
      </c>
      <c r="C20" t="s">
        <v>6</v>
      </c>
      <c r="D20" t="s">
        <v>56</v>
      </c>
      <c r="E20" t="s">
        <v>42</v>
      </c>
      <c r="F20" t="s">
        <v>102</v>
      </c>
      <c r="G20" t="s">
        <v>0</v>
      </c>
      <c r="H20" t="s">
        <v>55</v>
      </c>
      <c r="I20" s="30">
        <v>8000</v>
      </c>
      <c r="J20" s="29">
        <v>1</v>
      </c>
      <c r="K20" s="30">
        <v>350000</v>
      </c>
    </row>
    <row r="21" spans="1:11" x14ac:dyDescent="0.25">
      <c r="A21" t="s">
        <v>70</v>
      </c>
      <c r="B21" s="28">
        <v>45755</v>
      </c>
      <c r="C21" t="s">
        <v>6</v>
      </c>
      <c r="D21" t="s">
        <v>68</v>
      </c>
      <c r="E21" t="s">
        <v>72</v>
      </c>
      <c r="F21" t="s">
        <v>102</v>
      </c>
      <c r="G21" t="s">
        <v>0</v>
      </c>
      <c r="H21" t="s">
        <v>71</v>
      </c>
      <c r="I21" s="30">
        <v>5400</v>
      </c>
      <c r="J21" s="29">
        <v>1</v>
      </c>
      <c r="K21" s="30">
        <v>89995</v>
      </c>
    </row>
    <row r="22" spans="1:11" x14ac:dyDescent="0.25">
      <c r="A22" t="s">
        <v>50</v>
      </c>
      <c r="B22" s="28">
        <v>45754</v>
      </c>
      <c r="C22" t="s">
        <v>6</v>
      </c>
      <c r="D22" t="s">
        <v>52</v>
      </c>
      <c r="E22" t="s">
        <v>49</v>
      </c>
      <c r="F22" t="s">
        <v>101</v>
      </c>
      <c r="G22" t="s">
        <v>0</v>
      </c>
      <c r="H22" t="s">
        <v>51</v>
      </c>
      <c r="I22" s="30">
        <v>80026</v>
      </c>
      <c r="J22" s="29">
        <v>0.25</v>
      </c>
      <c r="K22" s="30">
        <v>500000</v>
      </c>
    </row>
    <row r="23" spans="1:11" x14ac:dyDescent="0.25">
      <c r="A23" t="s">
        <v>61</v>
      </c>
      <c r="B23" s="28">
        <v>45755</v>
      </c>
      <c r="C23" t="s">
        <v>7</v>
      </c>
      <c r="D23" t="s">
        <v>63</v>
      </c>
      <c r="E23" t="s">
        <v>42</v>
      </c>
      <c r="F23" t="s">
        <v>102</v>
      </c>
      <c r="G23" t="s">
        <v>0</v>
      </c>
      <c r="H23" t="s">
        <v>62</v>
      </c>
      <c r="I23" s="30">
        <v>60000</v>
      </c>
      <c r="J23" s="29">
        <v>1</v>
      </c>
      <c r="K23" s="30">
        <v>800000</v>
      </c>
    </row>
    <row r="24" spans="1:11" x14ac:dyDescent="0.25">
      <c r="A24" t="s">
        <v>94</v>
      </c>
      <c r="B24" s="28">
        <v>45776</v>
      </c>
      <c r="C24" t="s">
        <v>6</v>
      </c>
      <c r="D24" t="s">
        <v>95</v>
      </c>
      <c r="E24" t="s">
        <v>96</v>
      </c>
      <c r="F24" t="s">
        <v>102</v>
      </c>
      <c r="G24" t="s">
        <v>0</v>
      </c>
      <c r="H24" t="s">
        <v>103</v>
      </c>
      <c r="I24" s="30">
        <v>84600</v>
      </c>
      <c r="J24" s="29">
        <v>1</v>
      </c>
      <c r="K24" s="30">
        <v>9800000</v>
      </c>
    </row>
  </sheetData>
  <sheetProtection sheet="1" objects="1" scenarios="1" pivotTables="0"/>
  <pageMargins left="0.7" right="0.7" top="0.75" bottom="0.75" header="0.3" footer="0.3"/>
  <drawing r:id="rId2"/>
  <legacyDrawing r:id="rId3"/>
  <controls>
    <mc:AlternateContent xmlns:mc="http://schemas.openxmlformats.org/markup-compatibility/2006">
      <mc:Choice Requires="x14">
        <control shapeId="4100" r:id="rId4" name="CbCalendar_TO">
          <controlPr defaultSize="0" autoLine="0" r:id="rId5">
            <anchor moveWithCells="1">
              <from>
                <xdr:col>3</xdr:col>
                <xdr:colOff>28575</xdr:colOff>
                <xdr:row>1</xdr:row>
                <xdr:rowOff>0</xdr:rowOff>
              </from>
              <to>
                <xdr:col>3</xdr:col>
                <xdr:colOff>476250</xdr:colOff>
                <xdr:row>3</xdr:row>
                <xdr:rowOff>28575</xdr:rowOff>
              </to>
            </anchor>
          </controlPr>
        </control>
      </mc:Choice>
      <mc:Fallback>
        <control shapeId="4100" r:id="rId4" name="CbCalendar_TO"/>
      </mc:Fallback>
    </mc:AlternateContent>
    <mc:AlternateContent xmlns:mc="http://schemas.openxmlformats.org/markup-compatibility/2006">
      <mc:Choice Requires="x14">
        <control shapeId="4098" r:id="rId6" name="CbCalendar_From">
          <controlPr defaultSize="0" autoLine="0" r:id="rId7">
            <anchor moveWithCells="1">
              <from>
                <xdr:col>1</xdr:col>
                <xdr:colOff>28575</xdr:colOff>
                <xdr:row>1</xdr:row>
                <xdr:rowOff>0</xdr:rowOff>
              </from>
              <to>
                <xdr:col>1</xdr:col>
                <xdr:colOff>476250</xdr:colOff>
                <xdr:row>3</xdr:row>
                <xdr:rowOff>28575</xdr:rowOff>
              </to>
            </anchor>
          </controlPr>
        </control>
      </mc:Choice>
      <mc:Fallback>
        <control shapeId="4098" r:id="rId6" name="CbCalendar_From"/>
      </mc:Fallback>
    </mc:AlternateContent>
    <mc:AlternateContent xmlns:mc="http://schemas.openxmlformats.org/markup-compatibility/2006">
      <mc:Choice Requires="x14">
        <control shapeId="4102" r:id="rId8" name="Button 6">
          <controlPr defaultSize="0" autoFill="0" autoPict="0" macro="[0]!Downld_Report">
            <anchor moveWithCells="1">
              <from>
                <xdr:col>3</xdr:col>
                <xdr:colOff>1104900</xdr:colOff>
                <xdr:row>0</xdr:row>
                <xdr:rowOff>171450</xdr:rowOff>
              </from>
              <to>
                <xdr:col>5</xdr:col>
                <xdr:colOff>9525</xdr:colOff>
                <xdr:row>3</xdr:row>
                <xdr:rowOff>19050</xdr:rowOff>
              </to>
            </anchor>
          </controlPr>
        </control>
      </mc:Choice>
    </mc:AlternateContent>
  </controls>
  <tableParts count="2">
    <tablePart r:id="rId9"/>
    <tablePart r:id="rId10"/>
  </tableParts>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86788539-9BA6-4825-896B-4B7B704E4B9D}">
  <ds:schemaRefs/>
</ds:datastoreItem>
</file>

<file path=customXml/itemProps2.xml><?xml version="1.0" encoding="utf-8"?>
<ds:datastoreItem xmlns:ds="http://schemas.openxmlformats.org/officeDocument/2006/customXml" ds:itemID="{D215487A-71F9-48BD-ACAC-27F7A94A9F0B}">
  <ds:schemaRefs/>
</ds:datastoreItem>
</file>

<file path=customXml/itemProps3.xml><?xml version="1.0" encoding="utf-8"?>
<ds:datastoreItem xmlns:ds="http://schemas.openxmlformats.org/officeDocument/2006/customXml" ds:itemID="{4ABC33FB-87B7-4CC7-AD15-22B370384BE4}">
  <ds:schemaRefs/>
</ds:datastoreItem>
</file>

<file path=customXml/itemProps4.xml><?xml version="1.0" encoding="utf-8"?>
<ds:datastoreItem xmlns:ds="http://schemas.openxmlformats.org/officeDocument/2006/customXml" ds:itemID="{B9AE8E66-E23F-451A-A5B2-7A21FB06ABC9}">
  <ds:schemaRefs/>
</ds:datastoreItem>
</file>

<file path=customXml/itemProps5.xml><?xml version="1.0" encoding="utf-8"?>
<ds:datastoreItem xmlns:ds="http://schemas.openxmlformats.org/officeDocument/2006/customXml" ds:itemID="{7FA960D0-0EE8-4025-8323-EFD4521913FB}">
  <ds:schemaRefs/>
</ds:datastoreItem>
</file>

<file path=customXml/itemProps6.xml><?xml version="1.0" encoding="utf-8"?>
<ds:datastoreItem xmlns:ds="http://schemas.openxmlformats.org/officeDocument/2006/customXml" ds:itemID="{68915F33-8E91-4E08-9556-EDF082918DDB}">
  <ds:schemaRefs/>
</ds:datastoreItem>
</file>

<file path=customXml/itemProps7.xml><?xml version="1.0" encoding="utf-8"?>
<ds:datastoreItem xmlns:ds="http://schemas.openxmlformats.org/officeDocument/2006/customXml" ds:itemID="{902BED12-83CD-46A6-BACC-97D52D9A88EA}">
  <ds:schemaRefs/>
</ds:datastoreItem>
</file>

<file path=customXml/itemProps8.xml><?xml version="1.0" encoding="utf-8"?>
<ds:datastoreItem xmlns:ds="http://schemas.openxmlformats.org/officeDocument/2006/customXml" ds:itemID="{9253F89F-DF54-46CC-B0F3-5F04AEAD71C1}">
  <ds:schemaRefs/>
</ds:datastoreItem>
</file>

<file path=customXml/itemProps9.xml><?xml version="1.0" encoding="utf-8"?>
<ds:datastoreItem xmlns:ds="http://schemas.openxmlformats.org/officeDocument/2006/customXml" ds:itemID="{E59D0B12-1CFD-4533-9C29-3BFA556A99C6}">
  <ds:schemaRefs/>
</ds:datastoreItem>
</file>

<file path=customXml/itemProps10.xml><?xml version="1.0" encoding="utf-8"?>
<ds:datastoreItem xmlns:ds="http://schemas.openxmlformats.org/officeDocument/2006/customXml" ds:itemID="{FA940350-9462-450A-AD99-9E3C9D859991}">
  <ds:schemaRefs/>
</ds:datastoreItem>
</file>

<file path=customXml/itemProps11.xml><?xml version="1.0" encoding="utf-8"?>
<ds:datastoreItem xmlns:ds="http://schemas.openxmlformats.org/officeDocument/2006/customXml" ds:itemID="{23A9B9D8-1A90-429B-947E-C0728BC40662}">
  <ds:schemaRefs/>
</ds:datastoreItem>
</file>

<file path=customXml/itemProps12.xml><?xml version="1.0" encoding="utf-8"?>
<ds:datastoreItem xmlns:ds="http://schemas.openxmlformats.org/officeDocument/2006/customXml" ds:itemID="{03156C00-C83D-407C-8C58-1FC074F133B6}">
  <ds:schemaRefs/>
</ds:datastoreItem>
</file>

<file path=customXml/itemProps13.xml><?xml version="1.0" encoding="utf-8"?>
<ds:datastoreItem xmlns:ds="http://schemas.openxmlformats.org/officeDocument/2006/customXml" ds:itemID="{D7DAC2D1-50F3-451A-B7A9-BC1AF7E5A7EE}">
  <ds:schemaRefs>
    <ds:schemaRef ds:uri="http://schemas.microsoft.com/DataMashup"/>
  </ds:schemaRefs>
</ds:datastoreItem>
</file>

<file path=customXml/itemProps14.xml><?xml version="1.0" encoding="utf-8"?>
<ds:datastoreItem xmlns:ds="http://schemas.openxmlformats.org/officeDocument/2006/customXml" ds:itemID="{6659F00C-89EB-4258-8077-64B46DD4C9FF}">
  <ds:schemaRefs/>
</ds:datastoreItem>
</file>

<file path=customXml/itemProps15.xml><?xml version="1.0" encoding="utf-8"?>
<ds:datastoreItem xmlns:ds="http://schemas.openxmlformats.org/officeDocument/2006/customXml" ds:itemID="{5EF4E0E7-97C6-4720-A769-3337B745203F}">
  <ds:schemaRefs/>
</ds:datastoreItem>
</file>

<file path=customXml/itemProps16.xml><?xml version="1.0" encoding="utf-8"?>
<ds:datastoreItem xmlns:ds="http://schemas.openxmlformats.org/officeDocument/2006/customXml" ds:itemID="{3A2C0DF5-3C5B-4D7E-84ED-AE2E43D770E3}">
  <ds:schemaRefs/>
</ds:datastoreItem>
</file>

<file path=customXml/itemProps17.xml><?xml version="1.0" encoding="utf-8"?>
<ds:datastoreItem xmlns:ds="http://schemas.openxmlformats.org/officeDocument/2006/customXml" ds:itemID="{C61B8056-16F9-4EDF-BCEE-EA41F9183449}">
  <ds:schemaRefs/>
</ds:datastoreItem>
</file>

<file path=customXml/itemProps18.xml><?xml version="1.0" encoding="utf-8"?>
<ds:datastoreItem xmlns:ds="http://schemas.openxmlformats.org/officeDocument/2006/customXml" ds:itemID="{9BC3CB7D-4FDC-42E6-B33D-31E0573036C5}">
  <ds:schemaRefs/>
</ds:datastoreItem>
</file>

<file path=customXml/itemProps19.xml><?xml version="1.0" encoding="utf-8"?>
<ds:datastoreItem xmlns:ds="http://schemas.openxmlformats.org/officeDocument/2006/customXml" ds:itemID="{446961A2-AD0E-4228-BB9A-D350C4FDAEA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Tracker</vt:lpstr>
      <vt:lpstr>Teams</vt:lpstr>
      <vt:lpstr>Download Report</vt:lpstr>
      <vt:lpstr>Manager_List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Anootosh Sarkar</dc:creator>
  <cp:lastModifiedBy>Anootosh Sarkar</cp:lastModifiedBy>
  <dcterms:created xsi:type="dcterms:W3CDTF">2025-03-17T07:16:16Z</dcterms:created>
  <dcterms:modified xsi:type="dcterms:W3CDTF">2025-05-24T16:57:49Z</dcterms:modified>
</cp:coreProperties>
</file>