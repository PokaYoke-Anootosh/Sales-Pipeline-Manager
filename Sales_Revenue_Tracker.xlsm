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ocuments\GitHub\Sales-Revenue-Tracker-Macro\"/>
    </mc:Choice>
  </mc:AlternateContent>
  <xr:revisionPtr revIDLastSave="0" documentId="13_ncr:1_{62A54B1C-D9C8-4EC6-995E-C03F7DF94B05}" xr6:coauthVersionLast="47" xr6:coauthVersionMax="47" xr10:uidLastSave="{00000000-0000-0000-0000-000000000000}"/>
  <bookViews>
    <workbookView xWindow="825" yWindow="0" windowWidth="19665" windowHeight="10305" xr2:uid="{A5CDD2AB-79B4-4B21-BF80-F0DAB13457AF}"/>
  </bookViews>
  <sheets>
    <sheet name="Tracker" sheetId="1" r:id="rId1"/>
    <sheet name="Team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" i="1" l="1"/>
  <c r="N17" i="1"/>
  <c r="D17" i="1"/>
  <c r="O16" i="1"/>
  <c r="N16" i="1"/>
  <c r="D16" i="1"/>
  <c r="O15" i="1"/>
  <c r="N15" i="1"/>
  <c r="D15" i="1"/>
  <c r="O14" i="1"/>
  <c r="N14" i="1"/>
  <c r="D14" i="1"/>
  <c r="O13" i="1"/>
  <c r="N13" i="1"/>
  <c r="D13" i="1"/>
  <c r="O12" i="1"/>
  <c r="N12" i="1"/>
  <c r="D12" i="1"/>
  <c r="O11" i="1"/>
  <c r="N11" i="1"/>
  <c r="D11" i="1"/>
  <c r="O10" i="1"/>
  <c r="N10" i="1"/>
  <c r="D10" i="1"/>
  <c r="O9" i="1"/>
  <c r="N9" i="1"/>
  <c r="D9" i="1"/>
  <c r="O8" i="1"/>
  <c r="N8" i="1"/>
  <c r="D8" i="1"/>
  <c r="O7" i="1"/>
  <c r="N7" i="1"/>
  <c r="D7" i="1"/>
  <c r="O6" i="1"/>
  <c r="N6" i="1"/>
  <c r="D6" i="1"/>
  <c r="O5" i="1"/>
  <c r="N5" i="1"/>
  <c r="D5" i="1"/>
  <c r="O4" i="1"/>
  <c r="N4" i="1"/>
  <c r="D4" i="1"/>
  <c r="XFB1" i="1"/>
  <c r="XFD1" i="1" s="1"/>
</calcChain>
</file>

<file path=xl/sharedStrings.xml><?xml version="1.0" encoding="utf-8"?>
<sst xmlns="http://schemas.openxmlformats.org/spreadsheetml/2006/main" count="130" uniqueCount="84">
  <si>
    <t>Sales Rep</t>
  </si>
  <si>
    <t>Progress %</t>
  </si>
  <si>
    <t>MRR Category</t>
  </si>
  <si>
    <t>Region</t>
  </si>
  <si>
    <t>Sales Manager</t>
  </si>
  <si>
    <t>Rahul Singh</t>
  </si>
  <si>
    <t>Queensland</t>
  </si>
  <si>
    <t>Sydney</t>
  </si>
  <si>
    <t>Melbourne</t>
  </si>
  <si>
    <t>Brisbane</t>
  </si>
  <si>
    <t>Andrew Ballkin</t>
  </si>
  <si>
    <t>Teddy Flower</t>
  </si>
  <si>
    <t>Sonya Twain</t>
  </si>
  <si>
    <t>Robert Howes</t>
  </si>
  <si>
    <t>Patrick Howard</t>
  </si>
  <si>
    <t>Tim Pollock</t>
  </si>
  <si>
    <t>Mindy Claire</t>
  </si>
  <si>
    <t>Trip Manhowski</t>
  </si>
  <si>
    <t>Oswald Dahl</t>
  </si>
  <si>
    <t>Supriya Epuri Reddy</t>
  </si>
  <si>
    <t>Karl Porter</t>
  </si>
  <si>
    <t>Rebecca Clint</t>
  </si>
  <si>
    <t>Sheila D'hous</t>
  </si>
  <si>
    <t>Joe Dover</t>
  </si>
  <si>
    <t xml:space="preserve">Sales Team/Region </t>
  </si>
  <si>
    <t>Competitors</t>
  </si>
  <si>
    <t>Customer</t>
  </si>
  <si>
    <t>Opportunity / Angle</t>
  </si>
  <si>
    <t>Sales Agent</t>
  </si>
  <si>
    <t>Date</t>
  </si>
  <si>
    <t>Deal Size ($)</t>
  </si>
  <si>
    <t>Agent Name</t>
  </si>
  <si>
    <t>Do we know the Executive Sponsor?</t>
  </si>
  <si>
    <t>ROI Analysis Validated?</t>
  </si>
  <si>
    <t>Compelling Event Confirmed?</t>
  </si>
  <si>
    <t>Demo Last?</t>
  </si>
  <si>
    <t>Unique Value Established?</t>
  </si>
  <si>
    <t>Projected Revenue ($)</t>
  </si>
  <si>
    <t>Trxn. no.</t>
  </si>
  <si>
    <t>Designation</t>
  </si>
  <si>
    <t>Date Modified</t>
  </si>
  <si>
    <t>Our USP</t>
  </si>
  <si>
    <t>Product Pricing</t>
  </si>
  <si>
    <t>Rebecca Steel</t>
  </si>
  <si>
    <t>T47346</t>
  </si>
  <si>
    <t>Butterfly Annie</t>
  </si>
  <si>
    <t>T47728</t>
  </si>
  <si>
    <t>Klugg n Baker bricks</t>
  </si>
  <si>
    <t>The Boring Company</t>
  </si>
  <si>
    <t>Cust. Relationship</t>
  </si>
  <si>
    <t>T50502</t>
  </si>
  <si>
    <t>Sharjah Boring</t>
  </si>
  <si>
    <t>Imad Al-Sultan paints</t>
  </si>
  <si>
    <t>Our Goodwill</t>
  </si>
  <si>
    <t>T48714</t>
  </si>
  <si>
    <t>Rosoboronexport</t>
  </si>
  <si>
    <t>Mikhail Kravinoff</t>
  </si>
  <si>
    <t>T46038</t>
  </si>
  <si>
    <t>Opportunity Builders</t>
  </si>
  <si>
    <t>PrepMatter Constrc.</t>
  </si>
  <si>
    <t>Other</t>
  </si>
  <si>
    <t>T51601</t>
  </si>
  <si>
    <t>NA</t>
  </si>
  <si>
    <t>Mitter Builders</t>
  </si>
  <si>
    <t>T46190</t>
  </si>
  <si>
    <t>Oprah Storelines</t>
  </si>
  <si>
    <t>Discounts</t>
  </si>
  <si>
    <t>T46944</t>
  </si>
  <si>
    <t>Losorp Amenities</t>
  </si>
  <si>
    <t>Winfrey Sheds n Shacks</t>
  </si>
  <si>
    <t>T50026</t>
  </si>
  <si>
    <t>One48 Constructions</t>
  </si>
  <si>
    <t>Cust. Pain-Point</t>
  </si>
  <si>
    <t>T46727</t>
  </si>
  <si>
    <t>AeroFlats ltd</t>
  </si>
  <si>
    <t>Domestican highs corp.</t>
  </si>
  <si>
    <t>T46780</t>
  </si>
  <si>
    <t>Shaun's Domestica</t>
  </si>
  <si>
    <t>T47209</t>
  </si>
  <si>
    <t>PowerStay hotels</t>
  </si>
  <si>
    <t>T48777</t>
  </si>
  <si>
    <t>Timothy Builders</t>
  </si>
  <si>
    <t>T47569</t>
  </si>
  <si>
    <t>YouthStar North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</si>
</sst>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[$$-C09]#,##0.00;\-[$$-C09]#,##0.00"/>
    <numFmt numFmtId="165" formatCode="yyyy/mm/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1" fontId="0" fillId="5" borderId="0" xfId="0" applyNumberFormat="1" applyFill="1"/>
    <xf numFmtId="22" fontId="0" fillId="0" borderId="0" xfId="0" applyNumberFormat="1"/>
    <xf numFmtId="7" fontId="0" fillId="0" borderId="0" xfId="0" applyNumberFormat="1" applyAlignment="1">
      <alignment horizontal="center" vertical="center" wrapText="1"/>
    </xf>
    <xf numFmtId="0" fontId="0" fillId="6" borderId="0" xfId="0" applyFill="1"/>
    <xf numFmtId="0" fontId="2" fillId="3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" fillId="6" borderId="1" xfId="0" applyFont="1" applyFill="1" applyBorder="1" applyAlignment="1">
      <alignment horizontal="centerContinuous"/>
    </xf>
    <xf numFmtId="0" fontId="0" fillId="6" borderId="1" xfId="0" applyFill="1" applyBorder="1" applyAlignment="1">
      <alignment horizontal="centerContinuous"/>
    </xf>
    <xf numFmtId="0" fontId="0" fillId="0" borderId="1" xfId="0" applyBorder="1"/>
  </cellXfs>
  <cellStyles count="1">
    <cellStyle name="Normal" xfId="0" builtinId="0"/>
  </cellStyles>
  <dxfs count="27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yyyy/mm/dd;@"/>
      <alignment horizontal="general" vertical="center" textRotation="0" wrapText="1" indent="0" justifyLastLine="0" shrinkToFit="0" readingOrder="0"/>
    </dxf>
    <dxf>
      <numFmt numFmtId="11" formatCode="&quot;$&quot;#,##0.00_);\(&quot;$&quot;#,##0.00\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numFmt numFmtId="164" formatCode="[$$-C09]#,##0.00;\-[$$-C09]#,##0.00"/>
      <alignment horizontal="center" vertical="center" textRotation="0" wrapText="1" indent="0" justifyLastLine="0" shrinkToFit="0" readingOrder="0"/>
    </dxf>
    <dxf>
      <numFmt numFmtId="3" formatCode="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yyyy/mm/dd;@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color theme="9"/>
      </font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 val="0"/>
        <i val="0"/>
        <color theme="9" tint="-0.24994659260841701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828676</xdr:colOff>
      <xdr:row>0</xdr:row>
      <xdr:rowOff>47625</xdr:rowOff>
    </xdr:from>
    <xdr:to>
      <xdr:col>2</xdr:col>
      <xdr:colOff>866775</xdr:colOff>
      <xdr:row>1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7331051-D018-2937-219E-C936894593CA}"/>
            </a:ext>
          </a:extLst>
        </xdr:cNvPr>
        <xdr:cNvGrpSpPr/>
      </xdr:nvGrpSpPr>
      <xdr:grpSpPr>
        <a:xfrm>
          <a:off x="1409701" y="47625"/>
          <a:ext cx="914399" cy="276226"/>
          <a:chOff x="1552576" y="28575"/>
          <a:chExt cx="1057274" cy="323850"/>
        </a:xfrm>
      </xdr:grpSpPr>
      <xdr:sp macro="[0]!UFdelete_Form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030F065-4120-4300-B40E-89EB541D48C9}"/>
              </a:ext>
            </a:extLst>
          </xdr:cNvPr>
          <xdr:cNvSpPr/>
        </xdr:nvSpPr>
        <xdr:spPr>
          <a:xfrm>
            <a:off x="1552576" y="28575"/>
            <a:ext cx="1057274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delete_Form">
        <xdr:nvPicPr>
          <xdr:cNvPr id="10" name="Graphic 9" descr="Close">
            <a:extLst>
              <a:ext uri="{FF2B5EF4-FFF2-40B4-BE49-F238E27FC236}">
                <a16:creationId xmlns:a16="http://schemas.microsoft.com/office/drawing/2014/main" id="{583133DF-9EDC-5EED-4C5A-52FAC3A637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81175" y="47625"/>
            <a:ext cx="285750" cy="285750"/>
          </a:xfrm>
          <a:prstGeom prst="rect">
            <a:avLst/>
          </a:prstGeom>
        </xdr:spPr>
      </xdr:pic>
      <xdr:pic macro="[0]!UFdelete_Form">
        <xdr:nvPicPr>
          <xdr:cNvPr id="14" name="Graphic 13" descr="Pencil">
            <a:extLst>
              <a:ext uri="{FF2B5EF4-FFF2-40B4-BE49-F238E27FC236}">
                <a16:creationId xmlns:a16="http://schemas.microsoft.com/office/drawing/2014/main" id="{4B578AA6-C20D-C0DE-9068-EC834C8FC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66926" y="38101"/>
            <a:ext cx="304800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333375</xdr:colOff>
      <xdr:row>0</xdr:row>
      <xdr:rowOff>47625</xdr:rowOff>
    </xdr:from>
    <xdr:to>
      <xdr:col>1</xdr:col>
      <xdr:colOff>647700</xdr:colOff>
      <xdr:row>1</xdr:row>
      <xdr:rowOff>142875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97A061D-6FBC-26E8-7BD0-FC85CE4A1A0A}"/>
            </a:ext>
          </a:extLst>
        </xdr:cNvPr>
        <xdr:cNvGrpSpPr/>
      </xdr:nvGrpSpPr>
      <xdr:grpSpPr>
        <a:xfrm>
          <a:off x="333375" y="47625"/>
          <a:ext cx="895350" cy="285750"/>
          <a:chOff x="247650" y="28575"/>
          <a:chExt cx="1057276" cy="333376"/>
        </a:xfrm>
      </xdr:grpSpPr>
      <xdr:sp macro="[0]!UFenter_Form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D8F83B0-E1A8-9566-CD90-471294FEA937}"/>
              </a:ext>
            </a:extLst>
          </xdr:cNvPr>
          <xdr:cNvSpPr/>
        </xdr:nvSpPr>
        <xdr:spPr>
          <a:xfrm>
            <a:off x="247650" y="28575"/>
            <a:ext cx="1057276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enter_Form">
        <xdr:nvPicPr>
          <xdr:cNvPr id="12" name="Graphic 11" descr="Add">
            <a:extLst>
              <a:ext uri="{FF2B5EF4-FFF2-40B4-BE49-F238E27FC236}">
                <a16:creationId xmlns:a16="http://schemas.microsoft.com/office/drawing/2014/main" id="{75B761C1-FB3D-C066-397F-9FADED58A6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" y="38100"/>
            <a:ext cx="266699" cy="266699"/>
          </a:xfrm>
          <a:prstGeom prst="rect">
            <a:avLst/>
          </a:prstGeom>
        </xdr:spPr>
      </xdr:pic>
      <xdr:pic macro="[0]!UFenter_Form">
        <xdr:nvPicPr>
          <xdr:cNvPr id="16" name="Graphic 15" descr="Document">
            <a:extLst>
              <a:ext uri="{FF2B5EF4-FFF2-40B4-BE49-F238E27FC236}">
                <a16:creationId xmlns:a16="http://schemas.microsoft.com/office/drawing/2014/main" id="{0DF2C093-3A95-5295-B442-AC934A058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62000" y="38101"/>
            <a:ext cx="323850" cy="323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CA5B5-EF1E-4F7A-9650-EE5BF899DEBF}" name="Tracker" displayName="Tracker" ref="A3:Q17" totalsRowShown="0" headerRowDxfId="23" dataDxfId="22">
  <tableColumns count="17">
    <tableColumn id="16" xr3:uid="{E70020CD-4B56-4656-B9DB-31807E68DCB4}" name="Trxn. no." dataDxfId="21"/>
    <tableColumn id="1" xr3:uid="{E2FA7E19-6AEA-414D-983B-C5F722953019}" name="Date" dataDxfId="20"/>
    <tableColumn id="11" xr3:uid="{BB89922A-652D-4916-8D67-553427EA06E3}" name="Sales Agent" dataDxfId="19"/>
    <tableColumn id="12" xr3:uid="{58932D8C-3774-44B4-9EEB-982234900941}" name="Sales Team/Region " dataDxfId="18">
      <calculatedColumnFormula>INDEX(Teams[Region],MATCH(Tracker[[#This Row],[Sales Agent]],Teams[Agent Name],0))</calculatedColumnFormula>
    </tableColumn>
    <tableColumn id="13" xr3:uid="{C0F7D520-B805-46A1-B021-B57535254EFF}" name="Competitors" dataDxfId="17"/>
    <tableColumn id="14" xr3:uid="{C26832A9-2B64-4BF9-A9E7-791897A80B1D}" name="Customer" dataDxfId="16"/>
    <tableColumn id="2" xr3:uid="{DDB30E2C-1B15-4D27-B67E-654B6DD2D77A}" name="Opportunity / Angle" dataDxfId="15"/>
    <tableColumn id="3" xr3:uid="{8F8B9B72-FF16-41F2-8F6A-609A3D516BE8}" name="Deal Size ($)" dataDxfId="14"/>
    <tableColumn id="4" xr3:uid="{350723C6-C59A-428B-9E85-1214E1725E8D}" name="Do we know the Executive Sponsor?" dataDxfId="13"/>
    <tableColumn id="5" xr3:uid="{DD60403D-F49C-4BA4-B690-DF218181E16B}" name="ROI Analysis Validated?" dataDxfId="12"/>
    <tableColumn id="6" xr3:uid="{C079370D-255C-4184-BF41-E9129EFF722F}" name="Compelling Event Confirmed?" dataDxfId="11"/>
    <tableColumn id="7" xr3:uid="{3EF2503A-3B25-48C1-A172-13E83EC4FE63}" name="Demo Last?" dataDxfId="10"/>
    <tableColumn id="8" xr3:uid="{7F07CB83-994C-45C5-99F6-73E71E1030A6}" name="Unique Value Established?" dataDxfId="9"/>
    <tableColumn id="9" xr3:uid="{59649F27-B519-44F2-8DCC-B76EED162988}" name="Progress %" dataDxfId="8">
      <calculatedColumnFormula>IF(SUM(Tracker[[#This Row],[Do we know the Executive Sponsor?]:[Unique Value Established?]])=5,1,1/SUM(Tracker[[#This Row],[Do we know the Executive Sponsor?]:[Unique Value Established?]]))</calculatedColumnFormula>
    </tableColumn>
    <tableColumn id="10" xr3:uid="{73872C49-0A59-48FD-9432-9F81E299AF27}" name="MRR Category" dataDxfId="7">
      <calculatedColumnFormula>IF(SUM(Tracker[[#This Row],[Do we know the Executive Sponsor?]:[Unique Value Established?]])=5,"Predictable MRR","Deal behind Plan")</calculatedColumnFormula>
    </tableColumn>
    <tableColumn id="15" xr3:uid="{9722F5FD-8115-4896-8897-620D0E71C768}" name="Projected Revenue ($)" dataDxfId="6"/>
    <tableColumn id="17" xr3:uid="{31124B5A-C57A-413F-91ED-20DFA94C0353}" name="Date Modified" dataDxfId="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7EEC0-39BB-4E95-89C2-A0A08E295923}" name="Teams" displayName="Teams" ref="A1:C16" totalsRowShown="0" headerRowDxfId="4" dataDxfId="3">
  <autoFilter ref="A1:C16" xr:uid="{4127EEC0-39BB-4E95-89C2-A0A08E295923}"/>
  <tableColumns count="3">
    <tableColumn id="1" xr3:uid="{AD6AA1D5-1C51-4F84-B9B2-D416CC7FDAD6}" name="Region" dataDxfId="2"/>
    <tableColumn id="2" xr3:uid="{227A13C7-17B7-4B51-A604-686ADB58B835}" name="Agent Name" dataDxfId="1"/>
    <tableColumn id="3" xr3:uid="{3AD5B4FF-9B70-4971-AC70-627FD6001B9A}" name="Designation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AC33-6212-4BB5-8A35-D05451A85677}">
  <sheetPr codeName="ShTracker"/>
  <dimension ref="A1:XFD17"/>
  <sheetViews>
    <sheetView showGridLines="0" tabSelected="1" zoomScaleNormal="10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8.7109375" bestFit="1" customWidth="1"/>
    <col min="2" max="2" width="13.140625" customWidth="1"/>
    <col min="3" max="13" width="22.42578125" customWidth="1"/>
    <col min="14" max="14" width="10.5703125" bestFit="1" customWidth="1"/>
    <col min="15" max="15" width="22.42578125" customWidth="1"/>
    <col min="16" max="16" width="18.5703125" customWidth="1"/>
    <col min="17" max="17" width="12.85546875" customWidth="1"/>
    <col min="16379" max="16379" width="13.5703125" bestFit="1" customWidth="1"/>
  </cols>
  <sheetData>
    <row r="1" spans="1:17 16379:16384" x14ac:dyDescent="0.25">
      <c r="A1" s="17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XEY1" s="13"/>
      <c r="XFB1" s="12">
        <f ca="1">EDATE(TODAY(),MONTH(RAND()))</f>
        <v>45802</v>
      </c>
      <c r="XFD1" s="12">
        <f ca="1">RANDBETWEEN(RANDBETWEEN(100,200),RANDBETWEEN(2000,8000))+XFB1</f>
        <v>46773</v>
      </c>
    </row>
    <row r="2" spans="1:17 16379:16384" s="22" customForma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20"/>
      <c r="P2" s="21"/>
      <c r="Q2" s="21"/>
    </row>
    <row r="3" spans="1:17 16379:16384" ht="30" customHeight="1" x14ac:dyDescent="0.25">
      <c r="A3" s="16" t="s">
        <v>38</v>
      </c>
      <c r="B3" s="7" t="s">
        <v>29</v>
      </c>
      <c r="C3" s="7" t="s">
        <v>28</v>
      </c>
      <c r="D3" s="7" t="s">
        <v>24</v>
      </c>
      <c r="E3" s="7" t="s">
        <v>25</v>
      </c>
      <c r="F3" s="7" t="s">
        <v>26</v>
      </c>
      <c r="G3" s="7" t="s">
        <v>27</v>
      </c>
      <c r="H3" s="7" t="s">
        <v>30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7" t="s">
        <v>1</v>
      </c>
      <c r="O3" s="7" t="s">
        <v>2</v>
      </c>
      <c r="P3" s="7" t="s">
        <v>37</v>
      </c>
      <c r="Q3" s="7" t="s">
        <v>40</v>
      </c>
    </row>
    <row r="4" spans="1:17 16379:16384" x14ac:dyDescent="0.25">
      <c r="A4" s="9" t="s">
        <v>44</v>
      </c>
      <c r="B4" s="11">
        <v>45754</v>
      </c>
      <c r="C4" s="1" t="s">
        <v>15</v>
      </c>
      <c r="D4" s="1" t="str">
        <f>INDEX(Teams[Region],MATCH(Tracker[[#This Row],[Sales Agent]],Teams[Agent Name],0))</f>
        <v>Sydney</v>
      </c>
      <c r="E4" s="1" t="s">
        <v>43</v>
      </c>
      <c r="F4" s="1" t="s">
        <v>45</v>
      </c>
      <c r="G4" s="6" t="s">
        <v>53</v>
      </c>
      <c r="H4" s="8">
        <v>5500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4">
        <f>IF(SUM(Tracker[[#This Row],[Do we know the Executive Sponsor?]:[Unique Value Established?]])=5,1,1/SUM(Tracker[[#This Row],[Do we know the Executive Sponsor?]:[Unique Value Established?]]))</f>
        <v>1</v>
      </c>
      <c r="O4" s="1" t="str">
        <f>IF(SUM(Tracker[[#This Row],[Do we know the Executive Sponsor?]:[Unique Value Established?]])=5,"Predictable MRR","Deal behind Plan")</f>
        <v>Predictable MRR</v>
      </c>
      <c r="P4" s="14">
        <v>200000</v>
      </c>
      <c r="Q4" s="10">
        <v>45754</v>
      </c>
    </row>
    <row r="5" spans="1:17 16379:16384" x14ac:dyDescent="0.25">
      <c r="A5" s="9" t="s">
        <v>46</v>
      </c>
      <c r="B5" s="11">
        <v>45754</v>
      </c>
      <c r="C5" s="1" t="s">
        <v>13</v>
      </c>
      <c r="D5" s="1" t="str">
        <f>INDEX(Teams[Region],MATCH(Tracker[[#This Row],[Sales Agent]],Teams[Agent Name],0))</f>
        <v>Sydney</v>
      </c>
      <c r="E5" s="1" t="s">
        <v>47</v>
      </c>
      <c r="F5" s="1" t="s">
        <v>48</v>
      </c>
      <c r="G5" s="6" t="s">
        <v>41</v>
      </c>
      <c r="H5" s="8">
        <v>500500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4">
        <f>IF(SUM(Tracker[[#This Row],[Do we know the Executive Sponsor?]:[Unique Value Established?]])=5,1,1/SUM(Tracker[[#This Row],[Do we know the Executive Sponsor?]:[Unique Value Established?]]))</f>
        <v>1</v>
      </c>
      <c r="O5" s="1" t="str">
        <f>IF(SUM(Tracker[[#This Row],[Do we know the Executive Sponsor?]:[Unique Value Established?]])=5,"Predictable MRR","Deal behind Plan")</f>
        <v>Predictable MRR</v>
      </c>
      <c r="P5" s="14">
        <v>2000000</v>
      </c>
      <c r="Q5" s="10">
        <v>45754</v>
      </c>
    </row>
    <row r="6" spans="1:17 16379:16384" x14ac:dyDescent="0.25">
      <c r="A6" s="9" t="s">
        <v>50</v>
      </c>
      <c r="B6" s="11">
        <v>45754</v>
      </c>
      <c r="C6" s="1" t="s">
        <v>5</v>
      </c>
      <c r="D6" s="1" t="str">
        <f>INDEX(Teams[Region],MATCH(Tracker[[#This Row],[Sales Agent]],Teams[Agent Name],0))</f>
        <v>Queensland</v>
      </c>
      <c r="E6" s="1" t="s">
        <v>51</v>
      </c>
      <c r="F6" s="1" t="s">
        <v>52</v>
      </c>
      <c r="G6" s="6" t="s">
        <v>49</v>
      </c>
      <c r="H6" s="8">
        <v>80026</v>
      </c>
      <c r="I6" s="5">
        <v>1</v>
      </c>
      <c r="J6" s="5">
        <v>1</v>
      </c>
      <c r="K6" s="5">
        <v>0</v>
      </c>
      <c r="L6" s="5">
        <v>1</v>
      </c>
      <c r="M6" s="5">
        <v>1</v>
      </c>
      <c r="N6" s="4">
        <f>IF(SUM(Tracker[[#This Row],[Do we know the Executive Sponsor?]:[Unique Value Established?]])=5,1,1/SUM(Tracker[[#This Row],[Do we know the Executive Sponsor?]:[Unique Value Established?]]))</f>
        <v>0.25</v>
      </c>
      <c r="O6" s="1" t="str">
        <f>IF(SUM(Tracker[[#This Row],[Do we know the Executive Sponsor?]:[Unique Value Established?]])=5,"Predictable MRR","Deal behind Plan")</f>
        <v>Deal behind Plan</v>
      </c>
      <c r="P6" s="14">
        <v>500000</v>
      </c>
      <c r="Q6" s="10"/>
    </row>
    <row r="7" spans="1:17 16379:16384" x14ac:dyDescent="0.25">
      <c r="A7" s="9" t="s">
        <v>54</v>
      </c>
      <c r="B7" s="11">
        <v>45754</v>
      </c>
      <c r="C7" s="1" t="s">
        <v>11</v>
      </c>
      <c r="D7" s="1" t="str">
        <f>INDEX(Teams[Region],MATCH(Tracker[[#This Row],[Sales Agent]],Teams[Agent Name],0))</f>
        <v>Queensland</v>
      </c>
      <c r="E7" s="1" t="s">
        <v>55</v>
      </c>
      <c r="F7" s="1" t="s">
        <v>56</v>
      </c>
      <c r="G7" s="6" t="s">
        <v>42</v>
      </c>
      <c r="H7" s="8">
        <v>8000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4">
        <f>IF(SUM(Tracker[[#This Row],[Do we know the Executive Sponsor?]:[Unique Value Established?]])=5,1,1/SUM(Tracker[[#This Row],[Do we know the Executive Sponsor?]:[Unique Value Established?]]))</f>
        <v>1</v>
      </c>
      <c r="O7" s="1" t="str">
        <f>IF(SUM(Tracker[[#This Row],[Do we know the Executive Sponsor?]:[Unique Value Established?]])=5,"Predictable MRR","Deal behind Plan")</f>
        <v>Predictable MRR</v>
      </c>
      <c r="P7" s="14">
        <v>350000</v>
      </c>
      <c r="Q7" s="10">
        <v>45754</v>
      </c>
    </row>
    <row r="8" spans="1:17 16379:16384" x14ac:dyDescent="0.25">
      <c r="A8" s="9" t="s">
        <v>57</v>
      </c>
      <c r="B8" s="11">
        <v>45755</v>
      </c>
      <c r="C8" s="1" t="s">
        <v>14</v>
      </c>
      <c r="D8" s="1" t="str">
        <f>INDEX(Teams[Region],MATCH(Tracker[[#This Row],[Sales Agent]],Teams[Agent Name],0))</f>
        <v>Sydney</v>
      </c>
      <c r="E8" s="1" t="s">
        <v>58</v>
      </c>
      <c r="F8" s="1" t="s">
        <v>59</v>
      </c>
      <c r="G8" s="6" t="s">
        <v>60</v>
      </c>
      <c r="H8" s="8">
        <v>84000</v>
      </c>
      <c r="I8" s="5">
        <v>1</v>
      </c>
      <c r="J8" s="5">
        <v>1</v>
      </c>
      <c r="K8" s="5">
        <v>1</v>
      </c>
      <c r="L8" s="5">
        <v>0</v>
      </c>
      <c r="M8" s="5">
        <v>1</v>
      </c>
      <c r="N8" s="4">
        <f>IF(SUM(Tracker[[#This Row],[Do we know the Executive Sponsor?]:[Unique Value Established?]])=5,1,1/SUM(Tracker[[#This Row],[Do we know the Executive Sponsor?]:[Unique Value Established?]]))</f>
        <v>0.25</v>
      </c>
      <c r="O8" s="1" t="str">
        <f>IF(SUM(Tracker[[#This Row],[Do we know the Executive Sponsor?]:[Unique Value Established?]])=5,"Predictable MRR","Deal behind Plan")</f>
        <v>Deal behind Plan</v>
      </c>
      <c r="P8" s="14">
        <v>900000</v>
      </c>
      <c r="Q8" s="10">
        <v>45755</v>
      </c>
    </row>
    <row r="9" spans="1:17 16379:16384" x14ac:dyDescent="0.25">
      <c r="A9" s="9" t="s">
        <v>61</v>
      </c>
      <c r="B9" s="11">
        <v>45755</v>
      </c>
      <c r="C9" s="1" t="s">
        <v>15</v>
      </c>
      <c r="D9" s="1" t="str">
        <f>INDEX(Teams[Region],MATCH(Tracker[[#This Row],[Sales Agent]],Teams[Agent Name],0))</f>
        <v>Sydney</v>
      </c>
      <c r="E9" s="1" t="s">
        <v>62</v>
      </c>
      <c r="F9" s="1" t="s">
        <v>63</v>
      </c>
      <c r="G9" s="6" t="s">
        <v>42</v>
      </c>
      <c r="H9" s="8">
        <v>60000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4">
        <f>IF(SUM(Tracker[[#This Row],[Do we know the Executive Sponsor?]:[Unique Value Established?]])=5,1,1/SUM(Tracker[[#This Row],[Do we know the Executive Sponsor?]:[Unique Value Established?]]))</f>
        <v>1</v>
      </c>
      <c r="O9" s="1" t="str">
        <f>IF(SUM(Tracker[[#This Row],[Do we know the Executive Sponsor?]:[Unique Value Established?]])=5,"Predictable MRR","Deal behind Plan")</f>
        <v>Predictable MRR</v>
      </c>
      <c r="P9" s="14">
        <v>800000</v>
      </c>
      <c r="Q9" s="10"/>
    </row>
    <row r="10" spans="1:17 16379:16384" x14ac:dyDescent="0.25">
      <c r="A10" s="9" t="s">
        <v>64</v>
      </c>
      <c r="B10" s="11">
        <v>45755</v>
      </c>
      <c r="C10" s="1" t="s">
        <v>11</v>
      </c>
      <c r="D10" s="1" t="str">
        <f>INDEX(Teams[Region],MATCH(Tracker[[#This Row],[Sales Agent]],Teams[Agent Name],0))</f>
        <v>Queensland</v>
      </c>
      <c r="E10" s="1"/>
      <c r="F10" s="1" t="s">
        <v>65</v>
      </c>
      <c r="G10" s="6" t="s">
        <v>66</v>
      </c>
      <c r="H10" s="8">
        <v>84000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4">
        <f>IF(SUM(Tracker[[#This Row],[Do we know the Executive Sponsor?]:[Unique Value Established?]])=5,1,1/SUM(Tracker[[#This Row],[Do we know the Executive Sponsor?]:[Unique Value Established?]]))</f>
        <v>1</v>
      </c>
      <c r="O10" s="1" t="str">
        <f>IF(SUM(Tracker[[#This Row],[Do we know the Executive Sponsor?]:[Unique Value Established?]])=5,"Predictable MRR","Deal behind Plan")</f>
        <v>Predictable MRR</v>
      </c>
      <c r="P10" s="14">
        <v>1500000</v>
      </c>
      <c r="Q10" s="10"/>
    </row>
    <row r="11" spans="1:17 16379:16384" x14ac:dyDescent="0.25">
      <c r="A11" s="9" t="s">
        <v>67</v>
      </c>
      <c r="B11" s="11">
        <v>45755</v>
      </c>
      <c r="C11" s="1" t="s">
        <v>10</v>
      </c>
      <c r="D11" s="1" t="str">
        <f>INDEX(Teams[Region],MATCH(Tracker[[#This Row],[Sales Agent]],Teams[Agent Name],0))</f>
        <v>Queensland</v>
      </c>
      <c r="E11" s="1" t="s">
        <v>68</v>
      </c>
      <c r="F11" s="1" t="s">
        <v>69</v>
      </c>
      <c r="G11" s="6" t="s">
        <v>42</v>
      </c>
      <c r="H11" s="8">
        <v>57000</v>
      </c>
      <c r="I11" s="5">
        <v>1</v>
      </c>
      <c r="J11" s="5">
        <v>1</v>
      </c>
      <c r="K11" s="5">
        <v>0</v>
      </c>
      <c r="L11" s="5">
        <v>1</v>
      </c>
      <c r="M11" s="5">
        <v>1</v>
      </c>
      <c r="N11" s="4">
        <f>IF(SUM(Tracker[[#This Row],[Do we know the Executive Sponsor?]:[Unique Value Established?]])=5,1,1/SUM(Tracker[[#This Row],[Do we know the Executive Sponsor?]:[Unique Value Established?]]))</f>
        <v>0.25</v>
      </c>
      <c r="O11" s="1" t="str">
        <f>IF(SUM(Tracker[[#This Row],[Do we know the Executive Sponsor?]:[Unique Value Established?]])=5,"Predictable MRR","Deal behind Plan")</f>
        <v>Deal behind Plan</v>
      </c>
      <c r="P11" s="14">
        <v>1000000</v>
      </c>
      <c r="Q11" s="10"/>
    </row>
    <row r="12" spans="1:17 16379:16384" x14ac:dyDescent="0.25">
      <c r="A12" s="9" t="s">
        <v>70</v>
      </c>
      <c r="B12" s="11">
        <v>45755</v>
      </c>
      <c r="C12" s="1" t="s">
        <v>5</v>
      </c>
      <c r="D12" s="1" t="str">
        <f>INDEX(Teams[Region],MATCH(Tracker[[#This Row],[Sales Agent]],Teams[Agent Name],0))</f>
        <v>Queensland</v>
      </c>
      <c r="E12" s="1" t="s">
        <v>71</v>
      </c>
      <c r="F12" s="1" t="s">
        <v>68</v>
      </c>
      <c r="G12" s="6" t="s">
        <v>72</v>
      </c>
      <c r="H12" s="8">
        <v>5400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4">
        <f>IF(SUM(Tracker[[#This Row],[Do we know the Executive Sponsor?]:[Unique Value Established?]])=5,1,1/SUM(Tracker[[#This Row],[Do we know the Executive Sponsor?]:[Unique Value Established?]]))</f>
        <v>1</v>
      </c>
      <c r="O12" s="1" t="str">
        <f>IF(SUM(Tracker[[#This Row],[Do we know the Executive Sponsor?]:[Unique Value Established?]])=5,"Predictable MRR","Deal behind Plan")</f>
        <v>Predictable MRR</v>
      </c>
      <c r="P12" s="14">
        <v>89995</v>
      </c>
      <c r="Q12" s="10"/>
    </row>
    <row r="13" spans="1:17 16379:16384" x14ac:dyDescent="0.25">
      <c r="A13" s="9" t="s">
        <v>73</v>
      </c>
      <c r="B13" s="11">
        <v>45755</v>
      </c>
      <c r="C13" s="1" t="s">
        <v>14</v>
      </c>
      <c r="D13" s="1" t="str">
        <f>INDEX(Teams[Region],MATCH(Tracker[[#This Row],[Sales Agent]],Teams[Agent Name],0))</f>
        <v>Sydney</v>
      </c>
      <c r="E13" s="1" t="s">
        <v>74</v>
      </c>
      <c r="F13" s="1" t="s">
        <v>75</v>
      </c>
      <c r="G13" s="6" t="s">
        <v>72</v>
      </c>
      <c r="H13" s="8">
        <v>85600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4">
        <f>IF(SUM(Tracker[[#This Row],[Do we know the Executive Sponsor?]:[Unique Value Established?]])=5,1,1/SUM(Tracker[[#This Row],[Do we know the Executive Sponsor?]:[Unique Value Established?]]))</f>
        <v>1</v>
      </c>
      <c r="O13" s="1" t="str">
        <f>IF(SUM(Tracker[[#This Row],[Do we know the Executive Sponsor?]:[Unique Value Established?]])=5,"Predictable MRR","Deal behind Plan")</f>
        <v>Predictable MRR</v>
      </c>
      <c r="P13" s="14">
        <v>960000</v>
      </c>
      <c r="Q13" s="10"/>
    </row>
    <row r="14" spans="1:17 16379:16384" x14ac:dyDescent="0.25">
      <c r="A14" s="9" t="s">
        <v>76</v>
      </c>
      <c r="B14" s="11">
        <v>45755</v>
      </c>
      <c r="C14" s="1" t="s">
        <v>13</v>
      </c>
      <c r="D14" s="1" t="str">
        <f>INDEX(Teams[Region],MATCH(Tracker[[#This Row],[Sales Agent]],Teams[Agent Name],0))</f>
        <v>Sydney</v>
      </c>
      <c r="E14" s="1"/>
      <c r="F14" s="1" t="s">
        <v>77</v>
      </c>
      <c r="G14" s="6" t="s">
        <v>42</v>
      </c>
      <c r="H14" s="8">
        <v>96000</v>
      </c>
      <c r="I14" s="5">
        <v>1</v>
      </c>
      <c r="J14" s="5">
        <v>1</v>
      </c>
      <c r="K14" s="5">
        <v>1</v>
      </c>
      <c r="L14" s="5">
        <v>0</v>
      </c>
      <c r="M14" s="5">
        <v>1</v>
      </c>
      <c r="N14" s="4">
        <f>IF(SUM(Tracker[[#This Row],[Do we know the Executive Sponsor?]:[Unique Value Established?]])=5,1,1/SUM(Tracker[[#This Row],[Do we know the Executive Sponsor?]:[Unique Value Established?]]))</f>
        <v>0.25</v>
      </c>
      <c r="O14" s="1" t="str">
        <f>IF(SUM(Tracker[[#This Row],[Do we know the Executive Sponsor?]:[Unique Value Established?]])=5,"Predictable MRR","Deal behind Plan")</f>
        <v>Deal behind Plan</v>
      </c>
      <c r="P14" s="14">
        <v>690000</v>
      </c>
      <c r="Q14" s="10"/>
    </row>
    <row r="15" spans="1:17 16379:16384" x14ac:dyDescent="0.25">
      <c r="A15" s="9" t="s">
        <v>78</v>
      </c>
      <c r="B15" s="11">
        <v>45755</v>
      </c>
      <c r="C15" s="1" t="s">
        <v>14</v>
      </c>
      <c r="D15" s="1" t="str">
        <f>INDEX(Teams[Region],MATCH(Tracker[[#This Row],[Sales Agent]],Teams[Agent Name],0))</f>
        <v>Sydney</v>
      </c>
      <c r="E15" s="1"/>
      <c r="F15" s="1" t="s">
        <v>79</v>
      </c>
      <c r="G15" s="6" t="s">
        <v>72</v>
      </c>
      <c r="H15" s="8">
        <v>54000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4">
        <f>IF(SUM(Tracker[[#This Row],[Do we know the Executive Sponsor?]:[Unique Value Established?]])=5,1,1/SUM(Tracker[[#This Row],[Do we know the Executive Sponsor?]:[Unique Value Established?]]))</f>
        <v>1</v>
      </c>
      <c r="O15" s="1" t="str">
        <f>IF(SUM(Tracker[[#This Row],[Do we know the Executive Sponsor?]:[Unique Value Established?]])=5,"Predictable MRR","Deal behind Plan")</f>
        <v>Predictable MRR</v>
      </c>
      <c r="P15" s="14">
        <v>1100000</v>
      </c>
      <c r="Q15" s="10"/>
    </row>
    <row r="16" spans="1:17 16379:16384" x14ac:dyDescent="0.25">
      <c r="A16" s="9" t="s">
        <v>80</v>
      </c>
      <c r="B16" s="11">
        <v>45755</v>
      </c>
      <c r="C16" s="1" t="s">
        <v>18</v>
      </c>
      <c r="D16" s="1" t="str">
        <f>INDEX(Teams[Region],MATCH(Tracker[[#This Row],[Sales Agent]],Teams[Agent Name],0))</f>
        <v>Melbourne</v>
      </c>
      <c r="E16" s="1"/>
      <c r="F16" s="1" t="s">
        <v>81</v>
      </c>
      <c r="G16" s="6" t="s">
        <v>49</v>
      </c>
      <c r="H16" s="8">
        <v>85600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4">
        <f>IF(SUM(Tracker[[#This Row],[Do we know the Executive Sponsor?]:[Unique Value Established?]])=5,1,1/SUM(Tracker[[#This Row],[Do we know the Executive Sponsor?]:[Unique Value Established?]]))</f>
        <v>1</v>
      </c>
      <c r="O16" s="1" t="str">
        <f>IF(SUM(Tracker[[#This Row],[Do we know the Executive Sponsor?]:[Unique Value Established?]])=5,"Predictable MRR","Deal behind Plan")</f>
        <v>Predictable MRR</v>
      </c>
      <c r="P16" s="14">
        <v>650000</v>
      </c>
      <c r="Q16" s="10"/>
    </row>
    <row r="17" spans="1:17" x14ac:dyDescent="0.25">
      <c r="A17" s="9" t="s">
        <v>82</v>
      </c>
      <c r="B17" s="11">
        <v>45755</v>
      </c>
      <c r="C17" s="1" t="s">
        <v>22</v>
      </c>
      <c r="D17" s="1" t="str">
        <f>INDEX(Teams[Region],MATCH(Tracker[[#This Row],[Sales Agent]],Teams[Agent Name],0))</f>
        <v>Brisbane</v>
      </c>
      <c r="E17" s="1"/>
      <c r="F17" s="1" t="s">
        <v>83</v>
      </c>
      <c r="G17" s="6" t="s">
        <v>41</v>
      </c>
      <c r="H17" s="8">
        <v>6900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4">
        <f>IF(SUM(Tracker[[#This Row],[Do we know the Executive Sponsor?]:[Unique Value Established?]])=5,1,1/SUM(Tracker[[#This Row],[Do we know the Executive Sponsor?]:[Unique Value Established?]]))</f>
        <v>1</v>
      </c>
      <c r="O17" s="1" t="str">
        <f>IF(SUM(Tracker[[#This Row],[Do we know the Executive Sponsor?]:[Unique Value Established?]])=5,"Predictable MRR","Deal behind Plan")</f>
        <v>Predictable MRR</v>
      </c>
      <c r="P17" s="14">
        <v>690000</v>
      </c>
      <c r="Q17" s="10"/>
    </row>
  </sheetData>
  <sheetProtection sheet="1" objects="1" scenarios="1"/>
  <conditionalFormatting sqref="O4:O17">
    <cfRule type="containsText" dxfId="26" priority="4" operator="containsText" text="Predictable MRR">
      <formula>NOT(ISERROR(SEARCH("Predictable MRR",O4)))</formula>
    </cfRule>
    <cfRule type="containsText" dxfId="25" priority="5" operator="containsText" text="Deals Behind Plan">
      <formula>NOT(ISERROR(SEARCH("Deals Behind Plan",O4)))</formula>
    </cfRule>
  </conditionalFormatting>
  <conditionalFormatting sqref="N4:N17">
    <cfRule type="cellIs" dxfId="24" priority="2" operator="equal">
      <formula>1</formula>
    </cfRule>
  </conditionalFormatting>
  <conditionalFormatting sqref="I4:M17">
    <cfRule type="dataBar" priority="10">
      <dataBar showValue="0"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{0E35696F-0FA9-4744-8A73-858C966BFA5D}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35696F-0FA9-4744-8A73-858C966BFA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I4:M17</xm:sqref>
        </x14:conditionalFormatting>
        <x14:conditionalFormatting xmlns:xm="http://schemas.microsoft.com/office/excel/2006/main">
          <x14:cfRule type="iconSet" priority="132" id="{16EF7B6B-012A-463B-B85D-2DF67109691E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I4:M17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3188-D44F-4089-B98E-9EF7000E11FA}">
  <sheetPr codeName="ShTeams"/>
  <dimension ref="A1:C16"/>
  <sheetViews>
    <sheetView showGridLines="0" workbookViewId="0"/>
  </sheetViews>
  <sheetFormatPr defaultRowHeight="15" x14ac:dyDescent="0.25"/>
  <cols>
    <col min="1" max="1" width="22.42578125" customWidth="1"/>
    <col min="2" max="2" width="26.28515625" customWidth="1"/>
    <col min="3" max="3" width="14" bestFit="1" customWidth="1"/>
  </cols>
  <sheetData>
    <row r="1" spans="1:3" x14ac:dyDescent="0.25">
      <c r="A1" s="2" t="s">
        <v>3</v>
      </c>
      <c r="B1" s="2" t="s">
        <v>31</v>
      </c>
      <c r="C1" s="2" t="s">
        <v>39</v>
      </c>
    </row>
    <row r="2" spans="1:3" x14ac:dyDescent="0.25">
      <c r="A2" s="3" t="s">
        <v>6</v>
      </c>
      <c r="B2" s="3" t="s">
        <v>10</v>
      </c>
      <c r="C2" s="3" t="s">
        <v>4</v>
      </c>
    </row>
    <row r="3" spans="1:3" x14ac:dyDescent="0.25">
      <c r="A3" s="3" t="s">
        <v>6</v>
      </c>
      <c r="B3" s="3" t="s">
        <v>11</v>
      </c>
      <c r="C3" s="3" t="s">
        <v>0</v>
      </c>
    </row>
    <row r="4" spans="1:3" x14ac:dyDescent="0.25">
      <c r="A4" s="3" t="s">
        <v>6</v>
      </c>
      <c r="B4" s="3" t="s">
        <v>12</v>
      </c>
      <c r="C4" s="3" t="s">
        <v>0</v>
      </c>
    </row>
    <row r="5" spans="1:3" x14ac:dyDescent="0.25">
      <c r="A5" s="3" t="s">
        <v>6</v>
      </c>
      <c r="B5" s="3" t="s">
        <v>5</v>
      </c>
      <c r="C5" s="3" t="s">
        <v>0</v>
      </c>
    </row>
    <row r="6" spans="1:3" x14ac:dyDescent="0.25">
      <c r="A6" s="3" t="s">
        <v>7</v>
      </c>
      <c r="B6" s="3" t="s">
        <v>13</v>
      </c>
      <c r="C6" s="3" t="s">
        <v>4</v>
      </c>
    </row>
    <row r="7" spans="1:3" x14ac:dyDescent="0.25">
      <c r="A7" s="3" t="s">
        <v>7</v>
      </c>
      <c r="B7" s="3" t="s">
        <v>14</v>
      </c>
      <c r="C7" s="3" t="s">
        <v>0</v>
      </c>
    </row>
    <row r="8" spans="1:3" x14ac:dyDescent="0.25">
      <c r="A8" s="3" t="s">
        <v>7</v>
      </c>
      <c r="B8" s="3" t="s">
        <v>15</v>
      </c>
      <c r="C8" s="3" t="s">
        <v>0</v>
      </c>
    </row>
    <row r="9" spans="1:3" x14ac:dyDescent="0.25">
      <c r="A9" s="3" t="s">
        <v>7</v>
      </c>
      <c r="B9" s="3" t="s">
        <v>16</v>
      </c>
      <c r="C9" s="3" t="s">
        <v>0</v>
      </c>
    </row>
    <row r="10" spans="1:3" x14ac:dyDescent="0.25">
      <c r="A10" s="3" t="s">
        <v>8</v>
      </c>
      <c r="B10" s="3" t="s">
        <v>17</v>
      </c>
      <c r="C10" s="3" t="s">
        <v>4</v>
      </c>
    </row>
    <row r="11" spans="1:3" x14ac:dyDescent="0.25">
      <c r="A11" s="3" t="s">
        <v>8</v>
      </c>
      <c r="B11" s="3" t="s">
        <v>18</v>
      </c>
      <c r="C11" s="3" t="s">
        <v>0</v>
      </c>
    </row>
    <row r="12" spans="1:3" x14ac:dyDescent="0.25">
      <c r="A12" s="3" t="s">
        <v>8</v>
      </c>
      <c r="B12" s="3" t="s">
        <v>19</v>
      </c>
      <c r="C12" s="3" t="s">
        <v>0</v>
      </c>
    </row>
    <row r="13" spans="1:3" x14ac:dyDescent="0.25">
      <c r="A13" s="3" t="s">
        <v>8</v>
      </c>
      <c r="B13" s="3" t="s">
        <v>20</v>
      </c>
      <c r="C13" s="3" t="s">
        <v>0</v>
      </c>
    </row>
    <row r="14" spans="1:3" x14ac:dyDescent="0.25">
      <c r="A14" s="3" t="s">
        <v>9</v>
      </c>
      <c r="B14" s="3" t="s">
        <v>21</v>
      </c>
      <c r="C14" s="3" t="s">
        <v>4</v>
      </c>
    </row>
    <row r="15" spans="1:3" x14ac:dyDescent="0.25">
      <c r="A15" s="3" t="s">
        <v>9</v>
      </c>
      <c r="B15" s="3" t="s">
        <v>22</v>
      </c>
      <c r="C15" s="3" t="s">
        <v>0</v>
      </c>
    </row>
    <row r="16" spans="1:3" x14ac:dyDescent="0.25">
      <c r="A16" s="3" t="s">
        <v>9</v>
      </c>
      <c r="B16" s="3" t="s">
        <v>23</v>
      </c>
      <c r="C16" s="3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Tracker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dcterms:created xsi:type="dcterms:W3CDTF">2025-03-17T07:16:16Z</dcterms:created>
  <dcterms:modified xsi:type="dcterms:W3CDTF">2025-04-25T15:24:38Z</dcterms:modified>
</cp:coreProperties>
</file>